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bab35fcb714f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报总览" sheetId="1" r:id="R1ead1065ab544cae"/>
    <x:sheet xmlns:r="http://schemas.openxmlformats.org/officeDocument/2006/relationships" name="参数问题明细" sheetId="2" r:id="R872336ecd6cd4818"/>
    <x:sheet xmlns:r="http://schemas.openxmlformats.org/officeDocument/2006/relationships" name="兜底解决方案" sheetId="3" r:id="R14e8c6d5a8bd4f70"/>
    <x:sheet xmlns:r="http://schemas.openxmlformats.org/officeDocument/2006/relationships" name="当前无法解决" sheetId="4" r:id="Re3cfd02d89a84b14"/>
    <x:sheet xmlns:r="http://schemas.openxmlformats.org/officeDocument/2006/relationships" name="分析依据" sheetId="5" r:id="R0ea2eea91003408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8"/>
      <x:color rgb="FFFFFFFF"/>
      <x:name val="Carlito"/>
    </x:font>
    <x:font>
      <x:sz val="10"/>
      <x:color rgb="FF607080"/>
      <x:name val="Carlito"/>
    </x:font>
    <x:font>
      <x:b/>
      <x:sz val="10"/>
      <x:color rgb="FFFFFFFF"/>
      <x:name val="Carlito"/>
    </x:font>
    <x:font>
      <x:sz val="9"/>
      <x:color rgb="FF203040"/>
      <x:name val="Carlito"/>
    </x:font>
    <x:font>
      <x:b/>
      <x:sz val="10"/>
      <x:color rgb="FF203040"/>
      <x:name val="Carlito"/>
    </x:font>
    <x:font>
      <x:b/>
      <x:sz val="16"/>
      <x:color rgb="FF17324D"/>
      <x:name val="Carlito"/>
    </x:font>
    <x:font>
      <x:b/>
      <x:sz val="12"/>
      <x:color rgb="FF203040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2F6B9A"/>
      </x:patternFill>
    </x:fill>
    <x:fill>
      <x:patternFill patternType="solid">
        <x:fgColor rgb="FFF8FAFC"/>
      </x:patternFill>
    </x:fill>
    <x:fill>
      <x:patternFill patternType="solid">
        <x:fgColor rgb="FF9A5B2F"/>
      </x:patternFill>
    </x:fill>
    <x:fill>
      <x:patternFill patternType="solid">
        <x:fgColor rgb="FF2A7F7F"/>
      </x:patternFill>
    </x:fill>
    <x:fill>
      <x:patternFill patternType="solid">
        <x:fgColor rgb="FFE8F4F2"/>
      </x:patternFill>
    </x:fill>
  </x:fills>
  <x:borders count="8">
    <x:border/>
    <x:border>
      <x:left style="thin">
        <x:color rgb="FFCCD6E0"/>
      </x:left>
      <x:right style="thin">
        <x:color rgb="FFCCD6E0"/>
      </x:right>
      <x:top style="thin">
        <x:color rgb="FFCCD6E0"/>
      </x:top>
      <x:bottom style="thin">
        <x:color rgb="FFCCD6E0"/>
      </x:bottom>
    </x:border>
    <x:border>
      <x:left style="medium">
        <x:color rgb="FF2A7F7F"/>
      </x:left>
      <x:top style="medium">
        <x:color rgb="FF2A7F7F"/>
      </x:top>
    </x:border>
    <x:border>
      <x:top style="medium">
        <x:color rgb="FF2A7F7F"/>
      </x:top>
    </x:border>
    <x:border>
      <x:right style="medium">
        <x:color rgb="FF2A7F7F"/>
      </x:right>
      <x:top style="medium">
        <x:color rgb="FF2A7F7F"/>
      </x:top>
    </x:border>
    <x:border>
      <x:left style="medium">
        <x:color rgb="FF2A7F7F"/>
      </x:left>
      <x:bottom style="medium">
        <x:color rgb="FF2A7F7F"/>
      </x:bottom>
    </x:border>
    <x:border>
      <x:bottom style="medium">
        <x:color rgb="FF2A7F7F"/>
      </x:bottom>
    </x:border>
    <x:border>
      <x:right style="medium">
        <x:color rgb="FF2A7F7F"/>
      </x:right>
      <x:bottom style="medium">
        <x:color rgb="FF2A7F7F"/>
      </x:bottom>
    </x:border>
  </x:borders>
  <x:cellStyleXfs count="1">
    <x:xf numFmtId="0" fontId="0" fillId="0" borderId="0"/>
  </x:cellStyleXfs>
  <x:cellXfs count="6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" xfId="0" applyNumberFormat="1" applyFont="1" applyFill="1" applyBorder="1"/>
    <x:xf numFmtId="0" fontId="3" fillId="6" borderId="1" xfId="0" applyNumberFormat="1" applyFont="1" applyFill="1" applyBorder="1" applyAlignment="1">
      <x:alignment wrapText="1"/>
    </x:xf>
    <x:xf numFmtId="0" fontId="3" fillId="6" borderId="1" xfId="0" applyNumberFormat="1" applyFont="1" applyFill="1" applyBorder="1" applyAlignment="1">
      <x:alignment horizont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" xfId="0" applyNumberFormat="1" applyFont="1" applyFill="1" applyBorder="1"/>
    <x:xf numFmtId="0" fontId="3" fillId="7" borderId="1" xfId="0" applyNumberFormat="1" applyFont="1" applyFill="1" applyBorder="1" applyAlignment="1">
      <x:alignment wrapText="1"/>
    </x:xf>
    <x:xf numFmtId="0" fontId="3" fillId="7" borderId="1" xfId="0" applyNumberFormat="1" applyFont="1" applyFill="1" applyBorder="1" applyAlignment="1">
      <x:alignment horizontal="center" wrapText="1"/>
    </x:xf>
    <x:xf numFmtId="0" fontId="3" fillId="7" borderId="1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1" xfId="0" applyNumberFormat="1" applyFont="1" applyFill="1" applyBorder="1"/>
    <x:xf numFmtId="0" fontId="5" fillId="8" borderId="1" xfId="0" applyNumberFormat="1" applyFont="1" applyFill="1" applyBorder="1" applyAlignment="1">
      <x:alignment wrapText="1"/>
    </x:xf>
    <x:xf numFmtId="0" fontId="5" fillId="8" borderId="1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6" fillId="3" borderId="0" xfId="0" applyNumberFormat="1" applyFont="1" applyFill="1" applyBorder="1"/>
    <x:xf numFmtId="0" fontId="6" fillId="3" borderId="1" xfId="0" applyNumberFormat="1" applyFont="1" applyFill="1" applyBorder="1"/>
    <x:xf numFmtId="0" fontId="6" fillId="3" borderId="1" xfId="0" applyNumberFormat="1" applyFont="1" applyFill="1" applyBorder="1" applyAlignment="1">
      <x:alignment horizontal="center"/>
    </x:xf>
    <x:xf numFmtId="0" fontId="6" fillId="3" borderId="1" xfId="0" applyNumberFormat="1" applyFont="1" applyFill="1" applyBorder="1" applyAlignment="1">
      <x:alignment horizontal="center" vertical="center"/>
    </x:xf>
    <x:xf numFmtId="0" fontId="7" fillId="8" borderId="0" xfId="0" applyNumberFormat="1" applyFont="1" applyFill="1" applyBorder="1"/>
    <x:xf numFmtId="0" fontId="7" fillId="8" borderId="2" xfId="0" applyNumberFormat="1" applyFont="1" applyFill="1" applyBorder="1"/>
    <x:xf numFmtId="0" fontId="7" fillId="8" borderId="3" xfId="0" applyNumberFormat="1" applyFont="1" applyFill="1" applyBorder="1"/>
    <x:xf numFmtId="0" fontId="7" fillId="8" borderId="4" xfId="0" applyNumberFormat="1" applyFont="1" applyFill="1" applyBorder="1"/>
    <x:xf numFmtId="0" fontId="7" fillId="8" borderId="5" xfId="0" applyNumberFormat="1" applyFont="1" applyFill="1" applyBorder="1"/>
    <x:xf numFmtId="0" fontId="7" fillId="8" borderId="6" xfId="0" applyNumberFormat="1" applyFont="1" applyFill="1" applyBorder="1"/>
    <x:xf numFmtId="0" fontId="7" fillId="8" borderId="7" xfId="0" applyNumberFormat="1" applyFont="1" applyFill="1" applyBorder="1"/>
    <x:xf numFmtId="0" fontId="7" fillId="8" borderId="2" xfId="0" applyNumberFormat="1" applyFont="1" applyFill="1" applyBorder="1" applyAlignment="1">
      <x:alignment wrapText="1"/>
    </x:xf>
    <x:xf numFmtId="0" fontId="7" fillId="8" borderId="3" xfId="0" applyNumberFormat="1" applyFont="1" applyFill="1" applyBorder="1" applyAlignment="1">
      <x:alignment wrapText="1"/>
    </x:xf>
    <x:xf numFmtId="0" fontId="7" fillId="8" borderId="4" xfId="0" applyNumberFormat="1" applyFont="1" applyFill="1" applyBorder="1" applyAlignment="1">
      <x:alignment wrapText="1"/>
    </x:xf>
    <x:xf numFmtId="0" fontId="7" fillId="8" borderId="5" xfId="0" applyNumberFormat="1" applyFont="1" applyFill="1" applyBorder="1" applyAlignment="1">
      <x:alignment wrapText="1"/>
    </x:xf>
    <x:xf numFmtId="0" fontId="7" fillId="8" borderId="6" xfId="0" applyNumberFormat="1" applyFont="1" applyFill="1" applyBorder="1" applyAlignment="1">
      <x:alignment wrapText="1"/>
    </x:xf>
    <x:xf numFmtId="0" fontId="7" fillId="8" borderId="7" xfId="0" applyNumberFormat="1" applyFont="1" applyFill="1" applyBorder="1" applyAlignment="1">
      <x:alignment wrapText="1"/>
    </x:xf>
    <x:xf numFmtId="0" fontId="7" fillId="8" borderId="2" xfId="0" applyNumberFormat="1" applyFont="1" applyFill="1" applyBorder="1" applyAlignment="1">
      <x:alignment vertical="center" wrapText="1"/>
    </x:xf>
    <x:xf numFmtId="0" fontId="7" fillId="8" borderId="3" xfId="0" applyNumberFormat="1" applyFont="1" applyFill="1" applyBorder="1" applyAlignment="1">
      <x:alignment vertical="center" wrapText="1"/>
    </x:xf>
    <x:xf numFmtId="0" fontId="7" fillId="8" borderId="4" xfId="0" applyNumberFormat="1" applyFont="1" applyFill="1" applyBorder="1" applyAlignment="1">
      <x:alignment vertical="center" wrapText="1"/>
    </x:xf>
    <x:xf numFmtId="0" fontId="7" fillId="8" borderId="5" xfId="0" applyNumberFormat="1" applyFont="1" applyFill="1" applyBorder="1" applyAlignment="1">
      <x:alignment vertical="center" wrapText="1"/>
    </x:xf>
    <x:xf numFmtId="0" fontId="7" fillId="8" borderId="6" xfId="0" applyNumberFormat="1" applyFont="1" applyFill="1" applyBorder="1" applyAlignment="1">
      <x:alignment vertical="center" wrapText="1"/>
    </x:xf>
    <x:xf numFmtId="0" fontId="7" fillId="8" borderId="7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1fa9bbcfe64eff" /><Relationship Type="http://schemas.openxmlformats.org/officeDocument/2006/relationships/theme" Target="/xl/theme/theme1.xml" Id="R14bd51a238c34768" /><Relationship Type="http://schemas.openxmlformats.org/officeDocument/2006/relationships/sharedStrings" Target="/xl/sharedStrings.xml" Id="R115bdf85a2f24e98" /><Relationship Type="http://schemas.openxmlformats.org/officeDocument/2006/relationships/worksheet" Target="/xl/worksheets/sheet1.xml" Id="R1ead1065ab544cae" /><Relationship Type="http://schemas.openxmlformats.org/officeDocument/2006/relationships/worksheet" Target="/xl/worksheets/sheet2.xml" Id="R872336ecd6cd4818" /><Relationship Type="http://schemas.openxmlformats.org/officeDocument/2006/relationships/worksheet" Target="/xl/worksheets/sheet3.xml" Id="R14e8c6d5a8bd4f70" /><Relationship Type="http://schemas.openxmlformats.org/officeDocument/2006/relationships/worksheet" Target="/xl/worksheets/sheet4.xml" Id="Re3cfd02d89a84b14" /><Relationship Type="http://schemas.openxmlformats.org/officeDocument/2006/relationships/worksheet" Target="/xl/worksheets/sheet5.xml" Id="R0ea2eea91003408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43" hidden="0" customWidth="1"/>
    <x:col min="4" max="4" width="4" hidden="0" customWidth="1"/>
    <x:col min="5" max="5" width="16" hidden="0" customWidth="1"/>
    <x:col min="6" max="6" width="13" hidden="0" customWidth="1"/>
    <x:col min="7" max="7" width="43" hidden="0" customWidth="1"/>
    <x:col min="8" max="8" width="4" hidden="0" customWidth="1"/>
  </x:cols>
  <x:sheetData>
    <x:row r="1" ht="34" customHeight="1">
      <x:c r="A1" s="4" t="str">
        <x:v>Chat CLI 参数幻觉复核总览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冻结基线 f4474b57eb1db23b1638b9574be2f5dca368a360｜正式别名表未修改｜候选、报告、五页工作簿独立交付</x:v>
      </x:c>
      <x:c r="B2" s="8"/>
      <x:c r="C2" s="8"/>
      <x:c r="D2" s="8"/>
      <x:c r="E2" s="8"/>
      <x:c r="F2" s="8"/>
      <x:c r="G2" s="8"/>
      <x:c r="H2" s="8"/>
    </x:row>
    <x:row r="4" ht="28" customHeight="1">
      <x:c r="A4" s="36" t="str">
        <x:v>产品：Chat</x:v>
      </x:c>
      <x:c r="B4" s="36"/>
      <x:c r="C4" s="36" t="str">
        <x:v>覆盖命令：18</x:v>
      </x:c>
      <x:c r="D4" s="36"/>
      <x:c r="E4" s="36" t="str">
        <x:v>候选：param_concepts.json</x:v>
      </x:c>
      <x:c r="F4" s="36"/>
      <x:c r="G4" s="36" t="str">
        <x:v>验证：全部门禁通过</x:v>
      </x:c>
      <x:c r="H4" s="36"/>
    </x:row>
    <x:row r="6" ht="38" customHeight="1">
      <x:c r="A6" s="38" t="str">
        <x:v>分析命令数</x:v>
      </x:c>
      <x:c r="B6" s="42" t="n">
        <x:f>COUNTA('参数问题明细'!B5:B22)</x:f>
        <x:v>18</x:v>
      </x:c>
      <x:c r="C6" s="38" t="str">
        <x:v>可自动兜底</x:v>
      </x:c>
      <x:c r="D6" s="42" t="n">
        <x:f>COUNTIF('参数问题明细'!F5:F22,"可自动兜底")</x:f>
        <x:v>2</x:v>
      </x:c>
      <x:c r="E6" s="38" t="str">
        <x:v>部分兜底</x:v>
      </x:c>
      <x:c r="F6" s="42" t="n">
        <x:f>COUNTIF('参数问题明细'!F5:F22,"部分兜底")</x:f>
        <x:v>14</x:v>
      </x:c>
      <x:c r="G6" s="38" t="str">
        <x:v>仅保护</x:v>
      </x:c>
      <x:c r="H6" s="42" t="n">
        <x:f>COUNTIF('参数问题明细'!F5:F22,"仅保护")</x:f>
        <x:v>2</x:v>
      </x:c>
    </x:row>
    <x:row r="8">
      <x:c r="A8" s="56" t="str">
        <x:v>结论：候选变更 9 个 concept、18 个 command override、67 条 fixture；逐产品生成与政策门禁均通过。</x:v>
      </x:c>
      <x:c r="B8" s="57"/>
      <x:c r="C8" s="57"/>
      <x:c r="D8" s="57"/>
      <x:c r="E8" s="57"/>
      <x:c r="F8" s="57"/>
      <x:c r="G8" s="57"/>
      <x:c r="H8" s="58"/>
    </x:row>
    <x:row r="9">
      <x:c r="A9" s="59"/>
      <x:c r="B9" s="60"/>
      <x:c r="C9" s="60"/>
      <x:c r="D9" s="60"/>
      <x:c r="E9" s="60"/>
      <x:c r="F9" s="60"/>
      <x:c r="G9" s="60"/>
      <x:c r="H9" s="61"/>
    </x:row>
    <x:row r="11">
      <x:c r="A11" s="64" t="str">
        <x:v>落地层级</x:v>
      </x:c>
      <x:c r="B11" s="64" t="str">
        <x:v>状态</x:v>
      </x:c>
      <x:c r="C11" s="64" t="str">
        <x:v>说明</x:v>
      </x:c>
      <x:c r="D11" s="64" t="str"/>
      <x:c r="E11" s="64" t="str">
        <x:v>落地层级</x:v>
      </x:c>
      <x:c r="F11" s="64" t="str">
        <x:v>状态</x:v>
      </x:c>
      <x:c r="G11" s="64" t="str">
        <x:v>说明</x:v>
      </x:c>
      <x:c r="H11" s="64" t="str"/>
    </x:row>
    <x:row r="12" ht="36" customHeight="1">
      <x:c r="A12" s="18" t="str">
        <x:v>Help/Schema/Skill 事实审计</x:v>
      </x:c>
      <x:c r="B12" s="18" t="str">
        <x:v>完成</x:v>
      </x:c>
      <x:c r="C12" s="18" t="str">
        <x:v>42 命令总盘点中的本产品范围</x:v>
      </x:c>
      <x:c r="D12" s="18" t="str"/>
      <x:c r="E12" s="18" t="str">
        <x:v>正式别名表</x:v>
      </x:c>
      <x:c r="F12" s="18" t="str">
        <x:v>未修改</x:v>
      </x:c>
      <x:c r="G12" s="18" t="str">
        <x:v>待评审后另行落地</x:v>
      </x:c>
      <x:c r="H12" s="18" t="str"/>
    </x:row>
    <x:row r="13" ht="36" customHeight="1">
      <x:c r="A13" s="18" t="str">
        <x:v>完整候选草稿</x:v>
      </x:c>
      <x:c r="B13" s="18" t="str">
        <x:v>完成</x:v>
      </x:c>
      <x:c r="C13" s="18" t="str">
        <x:v>单行紧凑格式，基于正式表完整复制</x:v>
      </x:c>
      <x:c r="D13" s="18" t="str"/>
      <x:c r="E13" s="18" t="str">
        <x:v>PreParse 与模板</x:v>
      </x:c>
      <x:c r="F13" s="18" t="str">
        <x:v>通过</x:v>
      </x:c>
      <x:c r="G13" s="18" t="str">
        <x:v>含确认不可绕过</x:v>
      </x:c>
      <x:c r="H13" s="18" t="str"/>
    </x:row>
    <x:row r="14" ht="36" customHeight="1">
      <x:c r="A14" s="18" t="str">
        <x:v>仓库政策</x:v>
      </x:c>
      <x:c r="B14" s="18" t="str">
        <x:v>通过</x:v>
      </x:c>
      <x:c r="C14" s="18" t="str">
        <x:v>generated drift + Schema catalog</x:v>
      </x:c>
      <x:c r="D14" s="18" t="str"/>
      <x:c r="E14" s="18" t="str">
        <x:v>XLSX 视觉核验</x:v>
      </x:c>
      <x:c r="F14" s="18" t="str">
        <x:v>完成</x:v>
      </x:c>
      <x:c r="G14" s="18" t="str">
        <x:v>五页中文工作簿</x:v>
      </x:c>
      <x:c r="H14" s="18" t="str"/>
    </x:row>
    <x:row r="15" ht="36" customHeight="1">
      <x:c r="A15" s="18" t="str">
        <x:v>当前阻塞</x:v>
      </x:c>
      <x:c r="B15" s="18" t="str">
        <x:v>无</x:v>
      </x:c>
      <x:c r="C15" s="18" t="str">
        <x:v>无候选内阻塞</x:v>
      </x:c>
      <x:c r="D15" s="18" t="str"/>
      <x:c r="E15" s="18" t="str">
        <x:v>下一步</x:v>
      </x:c>
      <x:c r="F15" s="18" t="str">
        <x:v>评审</x:v>
      </x:c>
      <x:c r="G15" s="18" t="str">
        <x:v>决定是否合入正式表</x:v>
      </x:c>
      <x:c r="H15" s="18" t="str"/>
    </x:row>
  </x:sheetData>
  <x:mergeCells>
    <x:mergeCell ref="A1:H1"/>
    <x:mergeCell ref="A2:H2"/>
    <x:mergeCell ref="A4:B4"/>
    <x:mergeCell ref="C4:D4"/>
    <x:mergeCell ref="E4:F4"/>
    <x:mergeCell ref="G4:H4"/>
    <x:mergeCell ref="A8:H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30" hidden="0" customWidth="1"/>
    <x:col min="4" max="4" width="45" hidden="0" customWidth="1"/>
    <x:col min="5" max="5" width="48" hidden="0" customWidth="1"/>
    <x:col min="6" max="6" width="14" hidden="0" customWidth="1"/>
    <x:col min="7" max="7" width="10" hidden="0" customWidth="1"/>
  </x:cols>
  <x:sheetData>
    <x:row r="1" ht="34" customHeight="1">
      <x:c r="A1" s="4" t="str">
        <x:v>Chat 参数问题明细</x:v>
      </x:c>
      <x:c r="B1" s="4"/>
      <x:c r="C1" s="4"/>
      <x:c r="D1" s="4"/>
      <x:c r="E1" s="4"/>
      <x:c r="F1" s="4"/>
      <x:c r="G1" s="4"/>
    </x:row>
    <x:row r="2" ht="30" customHeight="1">
      <x:c r="A2" s="8" t="str">
        <x:v>冻结基线 f4474b57eb1db23b1638b9574be2f5dca368a360｜逐命令核对真实 Help/Cobra、运行时 Schema、Skill 与正式别名表</x:v>
      </x:c>
      <x:c r="B2" s="8"/>
      <x:c r="C2" s="8"/>
      <x:c r="D2" s="8"/>
      <x:c r="E2" s="8"/>
      <x:c r="F2" s="8"/>
      <x:c r="G2" s="8"/>
    </x:row>
    <x:row r="4" ht="28" customHeight="1">
      <x:c r="A4" s="14" t="str">
        <x:v>序号</x:v>
      </x:c>
      <x:c r="B4" s="14" t="str">
        <x:v>命令</x:v>
      </x:c>
      <x:c r="C4" s="14" t="str">
        <x:v>真实参数焦点</x:v>
      </x:c>
      <x:c r="D4" s="14" t="str">
        <x:v>参数幻觉风险</x:v>
      </x:c>
      <x:c r="E4" s="14" t="str">
        <x:v>候选处理</x:v>
      </x:c>
      <x:c r="F4" s="14" t="str">
        <x:v>落地能力</x:v>
      </x:c>
      <x:c r="G4" s="14" t="str">
        <x:v>风险等级</x:v>
      </x:c>
    </x:row>
    <x:row r="5" ht="62" customHeight="1">
      <x:c r="A5" s="18" t="n">
        <x:v>1</x:v>
      </x:c>
      <x:c r="B5" s="18" t="str">
        <x:v>chat +conversation-list</x:v>
      </x:c>
      <x:c r="C5" s="18" t="str">
        <x:v>limit,cursor</x:v>
      </x:c>
      <x:c r="D5" s="18" t="str">
        <x:v>整数 cursor 与 token/page 模型不等价</x:v>
      </x:c>
      <x:c r="E5" s="18" t="str">
        <x:v>limit concept；next-cursor 命令级映射；token/page 阻断</x:v>
      </x:c>
      <x:c r="F5" s="18" t="str">
        <x:v>部分兜底</x:v>
      </x:c>
      <x:c r="G5" s="18" t="str">
        <x:v>中</x:v>
      </x:c>
    </x:row>
    <x:row r="6" ht="62" customHeight="1">
      <x:c r="A6" s="19" t="n">
        <x:v>2</x:v>
      </x:c>
      <x:c r="B6" s="19" t="str">
        <x:v>chat +conversation-list-top</x:v>
      </x:c>
      <x:c r="C6" s="19" t="str">
        <x:v>limit,cursor,type</x:v>
      </x:c>
      <x:c r="D6" s="19" t="str">
        <x:v>整数 cursor + 本地会话类型枚举</x:v>
      </x:c>
      <x:c r="E6" s="19" t="str">
        <x:v>分页有限兜底；泛化 conversation-type 保持歧义</x:v>
      </x:c>
      <x:c r="F6" s="19" t="str">
        <x:v>部分兜底</x:v>
      </x:c>
      <x:c r="G6" s="19" t="str">
        <x:v>中</x:v>
      </x:c>
    </x:row>
    <x:row r="7" ht="62" customHeight="1">
      <x:c r="A7" s="18" t="n">
        <x:v>3</x:v>
      </x:c>
      <x:c r="B7" s="18" t="str">
        <x:v>chat +chat-search</x:v>
      </x:c>
      <x:c r="C7" s="18" t="str">
        <x:v>query,limit,page-size,cursor,page-token</x:v>
      </x:c>
      <x:c r="D7" s="18" t="str">
        <x:v>两组公开同义 real flags 并存，额外 generic alias 无法选 canonical</x:v>
      </x:c>
      <x:c r="E7" s="18" t="str">
        <x:v>query 可兜底；size/next-cursor 等设歧义</x:v>
      </x:c>
      <x:c r="F7" s="18" t="str">
        <x:v>部分兜底</x:v>
      </x:c>
      <x:c r="G7" s="18" t="str">
        <x:v>中</x:v>
      </x:c>
    </x:row>
    <x:row r="8" ht="62" customHeight="1">
      <x:c r="A8" s="19" t="n">
        <x:v>4</x:v>
      </x:c>
      <x:c r="B8" s="19" t="str">
        <x:v>chat +chat-list-mine</x:v>
      </x:c>
      <x:c r="C8" s="19" t="str">
        <x:v>role,limit</x:v>
      </x:c>
      <x:c r="D8" s="19" t="str">
        <x:v>limit 是总量上限且没有 cursor；role 是枚举</x:v>
      </x:c>
      <x:c r="E8" s="19" t="str">
        <x:v>仅 max-results / max-result 归一到总量上限；分页式命名阻断，generic size/type 保持歧义</x:v>
      </x:c>
      <x:c r="F8" s="19" t="str">
        <x:v>部分兜底</x:v>
      </x:c>
      <x:c r="G8" s="19" t="str">
        <x:v>中</x:v>
      </x:c>
    </x:row>
    <x:row r="9" ht="62" customHeight="1">
      <x:c r="A9" s="18" t="n">
        <x:v>5</x:v>
      </x:c>
      <x:c r="B9" s="18" t="str">
        <x:v>chat +chat-list-all</x:v>
      </x:c>
      <x:c r="C9" s="18" t="str">
        <x:v>limit,cursor</x:v>
      </x:c>
      <x:c r="D9" s="18" t="str">
        <x:v>opaque cursor 与页码/offset 冲突</x:v>
      </x:c>
      <x:c r="E9" s="18" t="str">
        <x:v>复用 pagination_size/page_cursor；page/offset 阻断</x:v>
      </x:c>
      <x:c r="F9" s="18" t="str">
        <x:v>可自动兜底</x:v>
      </x:c>
      <x:c r="G9" s="18" t="str">
        <x:v>低</x:v>
      </x:c>
    </x:row>
    <x:row r="10" ht="62" customHeight="1">
      <x:c r="A10" s="19" t="n">
        <x:v>6</x:v>
      </x:c>
      <x:c r="B10" s="19" t="str">
        <x:v>chat +chat-list-join-requests</x:v>
      </x:c>
      <x:c r="C10" s="19" t="str">
        <x:v>limit,cursor</x:v>
      </x:c>
      <x:c r="D10" s="19" t="str">
        <x:v>opaque cursor 与页码/offset 冲突</x:v>
      </x:c>
      <x:c r="E10" s="19" t="str">
        <x:v>复用 pagination_size/page_cursor；page/offset 阻断</x:v>
      </x:c>
      <x:c r="F10" s="19" t="str">
        <x:v>可自动兜底</x:v>
      </x:c>
      <x:c r="G10" s="19" t="str">
        <x:v>低</x:v>
      </x:c>
    </x:row>
    <x:row r="11" ht="62" customHeight="1">
      <x:c r="A11" s="18" t="n">
        <x:v>7</x:v>
      </x:c>
      <x:c r="B11" s="18" t="str">
        <x:v>chat +chat-list</x:v>
      </x:c>
      <x:c r="C11" s="18" t="str">
        <x:v>types,page-size,limit,page-token,cursor</x:v>
      </x:c>
      <x:c r="D11" s="18" t="str">
        <x:v>两组真实兼容参数并存；types 是列表枚举</x:v>
      </x:c>
      <x:c r="E11" s="18" t="str">
        <x:v>不再造第三 canonical；generic size/cursor/type 歧义</x:v>
      </x:c>
      <x:c r="F11" s="18" t="str">
        <x:v>仅保护</x:v>
      </x:c>
      <x:c r="G11" s="18" t="str">
        <x:v>中</x:v>
      </x:c>
    </x:row>
    <x:row r="12" ht="62" customHeight="1">
      <x:c r="A12" s="19" t="n">
        <x:v>8</x:v>
      </x:c>
      <x:c r="B12" s="19" t="str">
        <x:v>chat +messages-recall</x:v>
      </x:c>
      <x:c r="C12" s="19" t="str">
        <x:v>conversation-id,msg-id</x:v>
      </x:c>
      <x:c r="D12" s="19" t="str">
        <x:v>会话 ID、消息 ID、发送 openTaskId、threadId 角色冲突</x:v>
      </x:c>
      <x:c r="E12" s="19" t="str">
        <x:v>复用 open conversation/message concepts；其他 ID 域阻断</x:v>
      </x:c>
      <x:c r="F12" s="19" t="str">
        <x:v>部分兜底</x:v>
      </x:c>
      <x:c r="G12" s="19" t="str">
        <x:v>高</x:v>
      </x:c>
    </x:row>
    <x:row r="13" ht="62" customHeight="1">
      <x:c r="A13" s="18" t="n">
        <x:v>9</x:v>
      </x:c>
      <x:c r="B13" s="18" t="str">
        <x:v>chat +messages-query-send-status</x:v>
      </x:c>
      <x:c r="C13" s="18" t="str">
        <x:v>open-task-id</x:v>
      </x:c>
      <x:c r="D13" s="18" t="str">
        <x:v>openTaskId 不是 openMessageId，也不是 Todo taskId</x:v>
      </x:c>
      <x:c r="E13" s="18" t="str">
        <x:v>不新建单命令 concept；错误 ID 域阻断</x:v>
      </x:c>
      <x:c r="F13" s="18" t="str">
        <x:v>仅保护</x:v>
      </x:c>
      <x:c r="G13" s="18" t="str">
        <x:v>高</x:v>
      </x:c>
    </x:row>
    <x:row r="14" ht="62" customHeight="1">
      <x:c r="A14" s="19" t="n">
        <x:v>10</x:v>
      </x:c>
      <x:c r="B14" s="19" t="str">
        <x:v>chat +messages-create-text-emotion</x:v>
      </x:c>
      <x:c r="C14" s="19" t="str">
        <x:v>emotion-name,text,background-id</x:v>
      </x:c>
      <x:c r="D14" s="19" t="str">
        <x:v>创建名称/正文与既有 emotionId/backgroundId 易混</x:v>
      </x:c>
      <x:c r="E14" s="19" t="str">
        <x:v>正文 concept + 名称角色别名；existing ID 阻断</x:v>
      </x:c>
      <x:c r="F14" s="19" t="str">
        <x:v>部分兜底</x:v>
      </x:c>
      <x:c r="G14" s="19" t="str">
        <x:v>中</x:v>
      </x:c>
    </x:row>
    <x:row r="15" ht="62" customHeight="1">
      <x:c r="A15" s="18" t="n">
        <x:v>11</x:v>
      </x:c>
      <x:c r="B15" s="18" t="str">
        <x:v>chat +messages-send-card</x:v>
      </x:c>
      <x:c r="C15" s="18" t="str">
        <x:v>group,receiver,receiver-open-dingtalk-id,at-open-dingtalk-ids,content,flow-status</x:v>
      </x:c>
      <x:c r="D15" s="18" t="str">
        <x:v>三个目标域 + @列表 + 卡片状态并存</x:v>
      </x:c>
      <x:c r="E15" s="18" t="str">
        <x:v>ID concept 仅绑定同值域；openDingTalkId 只允许角色完整别名</x:v>
      </x:c>
      <x:c r="F15" s="18" t="str">
        <x:v>部分兜底</x:v>
      </x:c>
      <x:c r="G15" s="18" t="str">
        <x:v>高</x:v>
      </x:c>
    </x:row>
    <x:row r="16" ht="62" customHeight="1">
      <x:c r="A16" s="19" t="n">
        <x:v>12</x:v>
      </x:c>
      <x:c r="B16" s="19" t="str">
        <x:v>chat +messages-update-card</x:v>
      </x:c>
      <x:c r="C16" s="19" t="str">
        <x:v>biz-id,content,flow-status</x:v>
      </x:c>
      <x:c r="D16" s="19" t="str">
        <x:v>卡片 bizId/状态不是消息 ID/投递状态</x:v>
      </x:c>
      <x:c r="E16" s="19" t="str">
        <x:v>正文可兜底；卡片角色别名；错误 ID 阻断</x:v>
      </x:c>
      <x:c r="F16" s="19" t="str">
        <x:v>部分兜底</x:v>
      </x:c>
      <x:c r="G16" s="19" t="str">
        <x:v>高</x:v>
      </x:c>
    </x:row>
    <x:row r="17" ht="62" customHeight="1">
      <x:c r="A17" s="18" t="n">
        <x:v>13</x:v>
      </x:c>
      <x:c r="B17" s="18" t="str">
        <x:v>chat +messages-send</x:v>
      </x:c>
      <x:c r="C17" s="18" t="str">
        <x:v>identity,group,groups,user,users,open-dingtalk-id,open-dingtalk-ids,robot-code,text,markdown,media-id,file,uuid,@参数</x:v>
      </x:c>
      <x:c r="D17" s="18" t="str">
        <x:v>身份能力矩阵包含多目标域、多基数、多内容类型</x:v>
      </x:c>
      <x:c r="E17" s="18" t="str">
        <x:v>只映射明确 user/robot/CID 角色；generic content/recipient/at-ids 歧义</x:v>
      </x:c>
      <x:c r="F17" s="18" t="str">
        <x:v>部分兜底</x:v>
      </x:c>
      <x:c r="G17" s="18" t="str">
        <x:v>高</x:v>
      </x:c>
    </x:row>
    <x:row r="18" ht="62" customHeight="1">
      <x:c r="A18" s="19" t="n">
        <x:v>14</x:v>
      </x:c>
      <x:c r="B18" s="19" t="str">
        <x:v>chat +at-me</x:v>
      </x:c>
      <x:c r="C18" s="19" t="str">
        <x:v>group,days,limit,cursor,output-dir</x:v>
      </x:c>
      <x:c r="D18" s="19" t="str">
        <x:v>group 可为 CID 或名称；当前用户是隐式目标</x:v>
      </x:c>
      <x:c r="E18" s="19" t="str">
        <x:v>CID/群名原值映射；用户 ID 歧义；分页复用</x:v>
      </x:c>
      <x:c r="F18" s="19" t="str">
        <x:v>部分兜底</x:v>
      </x:c>
      <x:c r="G18" s="19" t="str">
        <x:v>中</x:v>
      </x:c>
    </x:row>
    <x:row r="19" ht="62" customHeight="1">
      <x:c r="A19" s="18" t="n">
        <x:v>15</x:v>
      </x:c>
      <x:c r="B19" s="18" t="str">
        <x:v>chat +broadcast</x:v>
      </x:c>
      <x:c r="C19" s="18" t="str">
        <x:v>to(list names),content</x:v>
      </x:c>
      <x:c r="D19" s="18" t="str">
        <x:v>自然姓名列表不是 userId/openDingTalkId 列表</x:v>
      </x:c>
      <x:c r="E19" s="18" t="str">
        <x:v>仅姓名列表角色别名；稳定 ID 阻断</x:v>
      </x:c>
      <x:c r="F19" s="18" t="str">
        <x:v>部分兜底</x:v>
      </x:c>
      <x:c r="G19" s="18" t="str">
        <x:v>高</x:v>
      </x:c>
    </x:row>
    <x:row r="20" ht="62" customHeight="1">
      <x:c r="A20" s="19" t="n">
        <x:v>16</x:v>
      </x:c>
      <x:c r="B20" s="19" t="str">
        <x:v>chat +dm</x:v>
      </x:c>
      <x:c r="C20" s="19" t="str">
        <x:v>to(single name),content</x:v>
      </x:c>
      <x:c r="D20" s="19" t="str">
        <x:v>自然姓名单值不是稳定 ID</x:v>
      </x:c>
      <x:c r="E20" s="19" t="str">
        <x:v>仅姓名角色别名；稳定 ID 阻断</x:v>
      </x:c>
      <x:c r="F20" s="19" t="str">
        <x:v>部分兜底</x:v>
      </x:c>
      <x:c r="G20" s="19" t="str">
        <x:v>高</x:v>
      </x:c>
    </x:row>
    <x:row r="21" ht="62" customHeight="1">
      <x:c r="A21" s="18" t="n">
        <x:v>17</x:v>
      </x:c>
      <x:c r="B21" s="18" t="str">
        <x:v>chat +my-groups</x:v>
      </x:c>
      <x:c r="C21" s="18" t="str">
        <x:v>type,limit,cursor</x:v>
      </x:c>
      <x:c r="D21" s="18" t="str">
        <x:v>type 是客户端过滤；opaque cursor 与页码不同</x:v>
      </x:c>
      <x:c r="E21" s="18" t="str">
        <x:v>分页 concept；页码阻断；group-type 歧义</x:v>
      </x:c>
      <x:c r="F21" s="18" t="str">
        <x:v>部分兜底</x:v>
      </x:c>
      <x:c r="G21" s="18" t="str">
        <x:v>中</x:v>
      </x:c>
    </x:row>
    <x:row r="22" ht="62" customHeight="1">
      <x:c r="A22" s="19" t="n">
        <x:v>18</x:v>
      </x:c>
      <x:c r="B22" s="19" t="str">
        <x:v>chat +thread-replies</x:v>
      </x:c>
      <x:c r="C22" s="19" t="str">
        <x:v>group,message-id,thread-id,topic-id,limit,page-size,order,sort,time</x:v>
      </x:c>
      <x:c r="D22" s="19" t="str">
        <x:v>会话/主消息/thread 三类 ID；两组真实兼容参数并存</x:v>
      </x:c>
      <x:c r="E22" s="19" t="str">
        <x:v>会话/消息 concept；plural/task ID 阻断；generic size/id 歧义</x:v>
      </x:c>
      <x:c r="F22" s="19" t="str">
        <x:v>部分兜底</x:v>
      </x:c>
      <x:c r="G22" s="19" t="str">
        <x:v>高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1" hidden="0" customWidth="1"/>
    <x:col min="3" max="3" width="22" hidden="0" customWidth="1"/>
    <x:col min="4" max="4" width="42" hidden="0" customWidth="1"/>
    <x:col min="5" max="5" width="46" hidden="0" customWidth="1"/>
    <x:col min="6" max="6" width="42" hidden="0" customWidth="1"/>
    <x:col min="7" max="7" width="14" hidden="0" customWidth="1"/>
  </x:cols>
  <x:sheetData>
    <x:row r="1" ht="34" customHeight="1">
      <x:c r="A1" s="4" t="str">
        <x:v>Chat 兜底解决方案</x:v>
      </x:c>
      <x:c r="B1" s="4"/>
      <x:c r="C1" s="4"/>
      <x:c r="D1" s="4"/>
      <x:c r="E1" s="4"/>
      <x:c r="F1" s="4"/>
      <x:c r="G1" s="4"/>
    </x:row>
    <x:row r="2" ht="30" customHeight="1">
      <x:c r="A2" s="8" t="str">
        <x:v>仅接受同实体、同角色、同值域、同基数且值原样传递的映射；共新增 67 条 fixture</x:v>
      </x:c>
      <x:c r="B2" s="8"/>
      <x:c r="C2" s="8"/>
      <x:c r="D2" s="8"/>
      <x:c r="E2" s="8"/>
      <x:c r="F2" s="8"/>
      <x:c r="G2" s="8"/>
    </x:row>
    <x:row r="4" ht="28" customHeight="1">
      <x:c r="A4" s="14" t="str">
        <x:v>类型</x:v>
      </x:c>
      <x:c r="B4" s="14" t="str">
        <x:v>Concept / 命令</x:v>
      </x:c>
      <x:c r="C4" s="14" t="str">
        <x:v>处理</x:v>
      </x:c>
      <x:c r="D4" s="14" t="str">
        <x:v>作用范围</x:v>
      </x:c>
      <x:c r="E4" s="14" t="str">
        <x:v>映射或说明</x:v>
      </x:c>
      <x:c r="F4" s="14" t="str">
        <x:v>保护边界</x:v>
      </x:c>
      <x:c r="G4" s="14" t="str">
        <x:v>审计结论</x:v>
      </x:c>
    </x:row>
    <x:row r="5" ht="64" customHeight="1">
      <x:c r="A5" s="18" t="str">
        <x:v>实体</x:v>
      </x:c>
      <x:c r="B5" s="18" t="str">
        <x:v>search_query</x:v>
      </x:c>
      <x:c r="C5" s="18" t="str">
        <x:v>扩展既有实体范围</x:v>
      </x:c>
      <x:c r="D5" s="18" t="str">
        <x:v>chat +chat-search</x:v>
      </x:c>
      <x:c r="E5" s="18" t="str">
        <x:v>query, keyword, keywords, q, search-word → query</x:v>
      </x:c>
      <x:c r="F5" s="18" t="str">
        <x:v>name, subject, text, title</x:v>
      </x:c>
      <x:c r="G5" s="18" t="str">
        <x:v>低风险</x:v>
      </x:c>
    </x:row>
    <x:row r="6" ht="64" customHeight="1">
      <x:c r="A6" s="19" t="str">
        <x:v>实体</x:v>
      </x:c>
      <x:c r="B6" s="19" t="str">
        <x:v>pagination_size</x:v>
      </x:c>
      <x:c r="C6" s="19" t="str">
        <x:v>扩展既有实体范围</x:v>
      </x:c>
      <x:c r="D6" s="19" t="str">
        <x:v>chat +conversation-list
chat +conversation-list-top
chat +chat-list-all
chat +chat-list-join-requests
chat +at-me
chat +my-groups</x:v>
      </x:c>
      <x:c r="E6" s="19" t="str">
        <x:v>limit, size, page-size, max-results, max-result, take, top, per-page → limit</x:v>
      </x:c>
      <x:c r="F6" s="19" t="str">
        <x:v>count, page, cursor</x:v>
      </x:c>
      <x:c r="G6" s="19" t="str">
        <x:v>低风险</x:v>
      </x:c>
    </x:row>
    <x:row r="7" ht="64" customHeight="1">
      <x:c r="A7" s="18" t="str">
        <x:v>实体</x:v>
      </x:c>
      <x:c r="B7" s="18" t="str">
        <x:v>page_cursor</x:v>
      </x:c>
      <x:c r="C7" s="18" t="str">
        <x:v>扩展既有实体范围</x:v>
      </x:c>
      <x:c r="D7" s="18" t="str">
        <x:v>chat +chat-list-all
chat +chat-list-join-requests
chat +at-me
chat +my-groups</x:v>
      </x:c>
      <x:c r="E7" s="18" t="str">
        <x:v>cursor, next-cursor, page-token, next-token, next-page-token → cursor</x:v>
      </x:c>
      <x:c r="F7" s="18" t="str">
        <x:v>page, offset</x:v>
      </x:c>
      <x:c r="G7" s="18" t="str">
        <x:v>低风险</x:v>
      </x:c>
    </x:row>
    <x:row r="8" ht="64" customHeight="1">
      <x:c r="A8" s="19" t="str">
        <x:v>实体</x:v>
      </x:c>
      <x:c r="B8" s="19" t="str">
        <x:v>content_text</x:v>
      </x:c>
      <x:c r="C8" s="19" t="str">
        <x:v>扩展既有实体范围</x:v>
      </x:c>
      <x:c r="D8" s="19" t="str">
        <x:v>chat +messages-create-text-emotion
chat +messages-send-card
chat +messages-update-card
chat +broadcast
chat +dm</x:v>
      </x:c>
      <x:c r="E8" s="19" t="str">
        <x:v>text, content, body → text</x:v>
      </x:c>
      <x:c r="F8" s="19" t="str">
        <x:v>title, name</x:v>
      </x:c>
      <x:c r="G8" s="19" t="str">
        <x:v>低风险</x:v>
      </x:c>
    </x:row>
    <x:row r="9" ht="64" customHeight="1">
      <x:c r="A9" s="18" t="str">
        <x:v>实体</x:v>
      </x:c>
      <x:c r="B9" s="18" t="str">
        <x:v>open_conversation_id</x:v>
      </x:c>
      <x:c r="C9" s="18" t="str">
        <x:v>扩展既有实体范围</x:v>
      </x:c>
      <x:c r="D9" s="18" t="str">
        <x:v>chat +messages-recall
chat +messages-send-card
chat +thread-replies</x:v>
      </x:c>
      <x:c r="E9" s="18" t="str">
        <x:v>group, conversation-id, chat, chat-id, open-conversation-id → conversation-id</x:v>
      </x:c>
      <x:c r="F9" s="18" t="str">
        <x:v>group-id, group-ids, conversation-ids, open-conversation-ids, group-name, name, id, source, target, src-conversation-id, dest-conversation-id</x:v>
      </x:c>
      <x:c r="G9" s="18" t="str">
        <x:v>中风险</x:v>
      </x:c>
    </x:row>
    <x:row r="10" ht="64" customHeight="1">
      <x:c r="A10" s="19" t="str">
        <x:v>实体</x:v>
      </x:c>
      <x:c r="B10" s="19" t="str">
        <x:v>open_message_id</x:v>
      </x:c>
      <x:c r="C10" s="19" t="str">
        <x:v>扩展既有实体范围</x:v>
      </x:c>
      <x:c r="D10" s="19" t="str">
        <x:v>chat +messages-recall
chat +thread-replies</x:v>
      </x:c>
      <x:c r="E10" s="19" t="str">
        <x:v>msg-id, message-id, open-message-id → open-message-id</x:v>
      </x:c>
      <x:c r="F10" s="19" t="str">
        <x:v>msg-ids, message-ids, open-message-ids, ref-msg-id, src-msg-id, open-task-id, topic-id, resource-id</x:v>
      </x:c>
      <x:c r="G10" s="19" t="str">
        <x:v>中风险</x:v>
      </x:c>
    </x:row>
    <x:row r="11" ht="64" customHeight="1">
      <x:c r="A11" s="18" t="str">
        <x:v>实体</x:v>
      </x:c>
      <x:c r="B11" s="18" t="str">
        <x:v>user_id</x:v>
      </x:c>
      <x:c r="C11" s="18" t="str">
        <x:v>扩展既有实体范围</x:v>
      </x:c>
      <x:c r="D11" s="18" t="str">
        <x:v>chat +messages-send-card
chat +messages-send</x:v>
      </x:c>
      <x:c r="E11" s="18" t="str">
        <x:v>user, user-id, userid, uid, staff-id → user-id</x:v>
      </x:c>
      <x:c r="F11" s="18" t="str">
        <x:v>at-user-ids, to-user, users, user-ids, name</x:v>
      </x:c>
      <x:c r="G11" s="18" t="str">
        <x:v>中风险</x:v>
      </x:c>
    </x:row>
    <x:row r="12" ht="64" customHeight="1">
      <x:c r="A12" s="19" t="str">
        <x:v>实体</x:v>
      </x:c>
      <x:c r="B12" s="19" t="str">
        <x:v>user_ids</x:v>
      </x:c>
      <x:c r="C12" s="19" t="str">
        <x:v>扩展既有实体范围</x:v>
      </x:c>
      <x:c r="D12" s="19" t="str">
        <x:v>chat +messages-send</x:v>
      </x:c>
      <x:c r="E12" s="19" t="str">
        <x:v>users, user-ids → user-ids</x:v>
      </x:c>
      <x:c r="F12" s="19" t="str">
        <x:v>user, user-id, userid, uid, staff-id, at-user-ids</x:v>
      </x:c>
      <x:c r="G12" s="19" t="str">
        <x:v>中风险</x:v>
      </x:c>
    </x:row>
    <x:row r="13" ht="64" customHeight="1">
      <x:c r="A13" s="18" t="str">
        <x:v>实体</x:v>
      </x:c>
      <x:c r="B13" s="18" t="str">
        <x:v>robot_code</x:v>
      </x:c>
      <x:c r="C13" s="18" t="str">
        <x:v>扩展既有实体范围</x:v>
      </x:c>
      <x:c r="D13" s="18" t="str">
        <x:v>chat +messages-send</x:v>
      </x:c>
      <x:c r="E13" s="18" t="str">
        <x:v>robot-code, robot → robot-code</x:v>
      </x:c>
      <x:c r="F13" s="18" t="str">
        <x:v>robot-id, bot-id, open-bot-id, bot-code</x:v>
      </x:c>
      <x:c r="G13" s="18" t="str">
        <x:v>中风险</x:v>
      </x:c>
    </x:row>
    <x:row r="14" ht="64" customHeight="1">
      <x:c r="A14" s="19" t="str">
        <x:v>命令覆盖</x:v>
      </x:c>
      <x:c r="B14" s="19" t="str">
        <x:v>chat +conversation-list</x:v>
      </x:c>
      <x:c r="C14" s="19" t="str">
        <x:v>bind 1 / alias 1 / block 4</x:v>
      </x:c>
      <x:c r="D14" s="19" t="str">
        <x:v>chat +conversation-list</x:v>
      </x:c>
      <x:c r="E14" s="19" t="str">
        <x:v>仅在本命令启用已验证的 bind / scoped alias；其余近似参数保持拦截或歧义保护</x:v>
      </x:c>
      <x:c r="F14" s="19" t="str">
        <x:v>page-token, next-token, page, offset</x:v>
      </x:c>
      <x:c r="G14" s="19" t="str">
        <x:v>严格命令域</x:v>
      </x:c>
    </x:row>
    <x:row r="15" ht="64" customHeight="1">
      <x:c r="A15" s="18" t="str">
        <x:v>命令覆盖</x:v>
      </x:c>
      <x:c r="B15" s="18" t="str">
        <x:v>chat +conversation-list-top</x:v>
      </x:c>
      <x:c r="C15" s="18" t="str">
        <x:v>bind 1 / alias 1 / block 4 / ambiguous 1</x:v>
      </x:c>
      <x:c r="D15" s="18" t="str">
        <x:v>chat +conversation-list-top</x:v>
      </x:c>
      <x:c r="E15" s="18" t="str">
        <x:v>仅在本命令启用已验证的 bind / scoped alias；其余近似参数保持拦截或歧义保护</x:v>
      </x:c>
      <x:c r="F15" s="18" t="str">
        <x:v>page-token, next-token, page, offset, conversation-type</x:v>
      </x:c>
      <x:c r="G15" s="18" t="str">
        <x:v>严格命令域</x:v>
      </x:c>
    </x:row>
    <x:row r="16" ht="64" customHeight="1">
      <x:c r="A16" s="19" t="str">
        <x:v>命令覆盖</x:v>
      </x:c>
      <x:c r="B16" s="19" t="str">
        <x:v>chat +chat-search</x:v>
      </x:c>
      <x:c r="C16" s="19" t="str">
        <x:v>bind 1 / block 2 / ambiguous 8</x:v>
      </x:c>
      <x:c r="D16" s="19" t="str">
        <x:v>chat +chat-search</x:v>
      </x:c>
      <x:c r="E16" s="19" t="str">
        <x:v>仅在本命令启用已验证的 bind / scoped alias；其余近似参数保持拦截或歧义保护</x:v>
      </x:c>
      <x:c r="F16" s="19" t="str">
        <x:v>page, offset, max-results, max-result, take, top, per-page, next-cursor, next-token, name</x:v>
      </x:c>
      <x:c r="G16" s="19" t="str">
        <x:v>严格命令域</x:v>
      </x:c>
    </x:row>
    <x:row r="17" ht="64" customHeight="1">
      <x:c r="A17" s="18" t="str">
        <x:v>命令覆盖</x:v>
      </x:c>
      <x:c r="B17" s="18" t="str">
        <x:v>chat +chat-list-mine</x:v>
      </x:c>
      <x:c r="C17" s="18" t="str">
        <x:v>alias 2 / block 6 / ambiguous 4</x:v>
      </x:c>
      <x:c r="D17" s="18" t="str">
        <x:v>chat +chat-list-mine</x:v>
      </x:c>
      <x:c r="E17" s="18" t="str">
        <x:v>仅在本命令启用已验证的 bind / scoped alias；其余近似参数保持拦截或歧义保护</x:v>
      </x:c>
      <x:c r="F17" s="18" t="str">
        <x:v>cursor, page-token, page, offset, page-size, per-page, type, size, take, top</x:v>
      </x:c>
      <x:c r="G17" s="18" t="str">
        <x:v>严格命令域</x:v>
      </x:c>
    </x:row>
    <x:row r="18" ht="64" customHeight="1">
      <x:c r="A18" s="19" t="str">
        <x:v>命令覆盖</x:v>
      </x:c>
      <x:c r="B18" s="19" t="str">
        <x:v>chat +chat-list-all</x:v>
      </x:c>
      <x:c r="C18" s="19" t="str">
        <x:v>bind 2 / block 2</x:v>
      </x:c>
      <x:c r="D18" s="19" t="str">
        <x:v>chat +chat-list-all</x:v>
      </x:c>
      <x:c r="E18" s="19" t="str">
        <x:v>仅在本命令启用已验证的 bind / scoped alias；其余近似参数保持拦截或歧义保护</x:v>
      </x:c>
      <x:c r="F18" s="19" t="str">
        <x:v>page, offset</x:v>
      </x:c>
      <x:c r="G18" s="19" t="str">
        <x:v>严格命令域</x:v>
      </x:c>
    </x:row>
    <x:row r="19" ht="64" customHeight="1">
      <x:c r="A19" s="18" t="str">
        <x:v>命令覆盖</x:v>
      </x:c>
      <x:c r="B19" s="18" t="str">
        <x:v>chat +chat-list-join-requests</x:v>
      </x:c>
      <x:c r="C19" s="18" t="str">
        <x:v>bind 2 / block 2</x:v>
      </x:c>
      <x:c r="D19" s="18" t="str">
        <x:v>chat +chat-list-join-requests</x:v>
      </x:c>
      <x:c r="E19" s="18" t="str">
        <x:v>仅在本命令启用已验证的 bind / scoped alias；其余近似参数保持拦截或歧义保护</x:v>
      </x:c>
      <x:c r="F19" s="18" t="str">
        <x:v>page, offset</x:v>
      </x:c>
      <x:c r="G19" s="18" t="str">
        <x:v>严格命令域</x:v>
      </x:c>
    </x:row>
    <x:row r="20" ht="64" customHeight="1">
      <x:c r="A20" s="19" t="str">
        <x:v>命令覆盖</x:v>
      </x:c>
      <x:c r="B20" s="19" t="str">
        <x:v>chat +chat-list</x:v>
      </x:c>
      <x:c r="C20" s="19" t="str">
        <x:v>block 2 / ambiguous 9</x:v>
      </x:c>
      <x:c r="D20" s="19" t="str">
        <x:v>chat +chat-list</x:v>
      </x:c>
      <x:c r="E20" s="19" t="str">
        <x:v>仅在本命令启用已验证的 bind / scoped alias；其余近似参数保持拦截或歧义保护</x:v>
      </x:c>
      <x:c r="F20" s="19" t="str">
        <x:v>page, offset, size, max-results, max-result, take, top, per-page, next-cursor, next-token, type</x:v>
      </x:c>
      <x:c r="G20" s="19" t="str">
        <x:v>严格命令域</x:v>
      </x:c>
    </x:row>
    <x:row r="21" ht="64" customHeight="1">
      <x:c r="A21" s="18" t="str">
        <x:v>命令覆盖</x:v>
      </x:c>
      <x:c r="B21" s="18" t="str">
        <x:v>chat +messages-recall</x:v>
      </x:c>
      <x:c r="C21" s="18" t="str">
        <x:v>bind 2 / block 7</x:v>
      </x:c>
      <x:c r="D21" s="18" t="str">
        <x:v>chat +messages-recall</x:v>
      </x:c>
      <x:c r="E21" s="18" t="str">
        <x:v>仅在本命令启用已验证的 bind / scoped alias；其余近似参数保持拦截或歧义保护</x:v>
      </x:c>
      <x:c r="F21" s="18" t="str">
        <x:v>conversation-ids, open-conversation-ids, msg-ids, open-message-ids, open-task-id, thread-id, topic-id</x:v>
      </x:c>
      <x:c r="G21" s="18" t="str">
        <x:v>严格命令域</x:v>
      </x:c>
    </x:row>
    <x:row r="22" ht="64" customHeight="1">
      <x:c r="A22" s="19" t="str">
        <x:v>命令覆盖</x:v>
      </x:c>
      <x:c r="B22" s="19" t="str">
        <x:v>chat +messages-query-send-status</x:v>
      </x:c>
      <x:c r="C22" s="19" t="str">
        <x:v>block 6 / ambiguous 2</x:v>
      </x:c>
      <x:c r="D22" s="19" t="str">
        <x:v>chat +messages-query-send-status</x:v>
      </x:c>
      <x:c r="E22" s="19" t="str">
        <x:v>仅在本命令启用已验证的 bind / scoped alias；其余近似参数保持拦截或歧义保护</x:v>
      </x:c>
      <x:c r="F22" s="19" t="str">
        <x:v>msg-id, message-id, open-message-id, thread-id, topic-id, task-id, id, status</x:v>
      </x:c>
      <x:c r="G22" s="19" t="str">
        <x:v>严格命令域</x:v>
      </x:c>
    </x:row>
    <x:row r="23" ht="64" customHeight="1">
      <x:c r="A23" s="18" t="str">
        <x:v>命令覆盖</x:v>
      </x:c>
      <x:c r="B23" s="18" t="str">
        <x:v>chat +messages-create-text-emotion</x:v>
      </x:c>
      <x:c r="C23" s="18" t="str">
        <x:v>bind 1 / alias 2 / block 3 / ambiguous 2</x:v>
      </x:c>
      <x:c r="D23" s="18" t="str">
        <x:v>chat +messages-create-text-emotion</x:v>
      </x:c>
      <x:c r="E23" s="18" t="str">
        <x:v>仅在本命令启用已验证的 bind / scoped alias；其余近似参数保持拦截或歧义保护</x:v>
      </x:c>
      <x:c r="F23" s="18" t="str">
        <x:v>emotion-id, message-id, media-id, id, background</x:v>
      </x:c>
      <x:c r="G23" s="18" t="str">
        <x:v>严格命令域</x:v>
      </x:c>
    </x:row>
    <x:row r="24" ht="64" customHeight="1">
      <x:c r="A24" s="19" t="str">
        <x:v>命令覆盖</x:v>
      </x:c>
      <x:c r="B24" s="19" t="str">
        <x:v>chat +messages-send-card</x:v>
      </x:c>
      <x:c r="C24" s="19" t="str">
        <x:v>bind 3 / alias 6 / block 7 / ambiguous 4</x:v>
      </x:c>
      <x:c r="D24" s="19" t="str">
        <x:v>chat +messages-send-card</x:v>
      </x:c>
      <x:c r="E24" s="19" t="str">
        <x:v>仅在本命令启用已验证的 bind / scoped alias；其余近似参数保持拦截或歧义保护</x:v>
      </x:c>
      <x:c r="F24" s="19" t="str">
        <x:v>user-ids, open-dingtalk-ids, group-ids, conversation-ids, message-id, open-message-id, open-task-id, id, recipient, status, at-ids</x:v>
      </x:c>
      <x:c r="G24" s="19" t="str">
        <x:v>严格命令域</x:v>
      </x:c>
    </x:row>
    <x:row r="25" ht="64" customHeight="1">
      <x:c r="A25" s="18" t="str">
        <x:v>命令覆盖</x:v>
      </x:c>
      <x:c r="B25" s="18" t="str">
        <x:v>chat +messages-update-card</x:v>
      </x:c>
      <x:c r="C25" s="18" t="str">
        <x:v>bind 1 / alias 3 / block 4 / ambiguous 2</x:v>
      </x:c>
      <x:c r="D25" s="18" t="str">
        <x:v>chat +messages-update-card</x:v>
      </x:c>
      <x:c r="E25" s="18" t="str">
        <x:v>仅在本命令启用已验证的 bind / scoped alias；其余近似参数保持拦截或歧义保护</x:v>
      </x:c>
      <x:c r="F25" s="18" t="str">
        <x:v>message-id, open-message-id, open-task-id, task-id, id, status</x:v>
      </x:c>
      <x:c r="G25" s="18" t="str">
        <x:v>严格命令域</x:v>
      </x:c>
    </x:row>
    <x:row r="26" ht="64" customHeight="1">
      <x:c r="A26" s="19" t="str">
        <x:v>命令覆盖</x:v>
      </x:c>
      <x:c r="B26" s="19" t="str">
        <x:v>chat +messages-send</x:v>
      </x:c>
      <x:c r="C26" s="19" t="str">
        <x:v>bind 3 / alias 6 / block 5 / ambiguous 6</x:v>
      </x:c>
      <x:c r="D26" s="19" t="str">
        <x:v>chat +messages-send</x:v>
      </x:c>
      <x:c r="E26" s="19" t="str">
        <x:v>仅在本命令启用已验证的 bind / scoped alias；其余近似参数保持拦截或歧义保护</x:v>
      </x:c>
      <x:c r="F26" s="19" t="str">
        <x:v>message-id, open-message-id, open-task-id, thread-id, topic-id, content, body, at-ids, recipient, conversation-ids, id</x:v>
      </x:c>
      <x:c r="G26" s="19" t="str">
        <x:v>严格命令域</x:v>
      </x:c>
    </x:row>
    <x:row r="27" ht="64" customHeight="1">
      <x:c r="A27" s="18" t="str">
        <x:v>命令覆盖</x:v>
      </x:c>
      <x:c r="B27" s="18" t="str">
        <x:v>chat +at-me</x:v>
      </x:c>
      <x:c r="C27" s="18" t="str">
        <x:v>bind 2 / alias 4 / block 2 / ambiguous 3</x:v>
      </x:c>
      <x:c r="D27" s="18" t="str">
        <x:v>chat +at-me</x:v>
      </x:c>
      <x:c r="E27" s="18" t="str">
        <x:v>仅在本命令启用已验证的 bind / scoped alias；其余近似参数保持拦截或歧义保护</x:v>
      </x:c>
      <x:c r="F27" s="18" t="str">
        <x:v>page, offset, user, user-id, open-dingtalk-id</x:v>
      </x:c>
      <x:c r="G27" s="18" t="str">
        <x:v>严格命令域</x:v>
      </x:c>
    </x:row>
    <x:row r="28" ht="64" customHeight="1">
      <x:c r="A28" s="19" t="str">
        <x:v>命令覆盖</x:v>
      </x:c>
      <x:c r="B28" s="19" t="str">
        <x:v>chat +broadcast</x:v>
      </x:c>
      <x:c r="C28" s="19" t="str">
        <x:v>bind 1 / alias 2 / block 4 / ambiguous 3</x:v>
      </x:c>
      <x:c r="D28" s="19" t="str">
        <x:v>chat +broadcast</x:v>
      </x:c>
      <x:c r="E28" s="19" t="str">
        <x:v>仅在本命令启用已验证的 bind / scoped alias；其余近似参数保持拦截或歧义保护</x:v>
      </x:c>
      <x:c r="F28" s="19" t="str">
        <x:v>user-id, user-ids, open-dingtalk-id, open-dingtalk-ids, recipient, recipients, to-ids</x:v>
      </x:c>
      <x:c r="G28" s="19" t="str">
        <x:v>严格命令域</x:v>
      </x:c>
    </x:row>
    <x:row r="29" ht="64" customHeight="1">
      <x:c r="A29" s="18" t="str">
        <x:v>命令覆盖</x:v>
      </x:c>
      <x:c r="B29" s="18" t="str">
        <x:v>chat +dm</x:v>
      </x:c>
      <x:c r="C29" s="18" t="str">
        <x:v>bind 1 / alias 2 / block 4 / ambiguous 2</x:v>
      </x:c>
      <x:c r="D29" s="18" t="str">
        <x:v>chat +dm</x:v>
      </x:c>
      <x:c r="E29" s="18" t="str">
        <x:v>仅在本命令启用已验证的 bind / scoped alias；其余近似参数保持拦截或歧义保护</x:v>
      </x:c>
      <x:c r="F29" s="18" t="str">
        <x:v>user-id, user-ids, open-dingtalk-id, open-dingtalk-ids, recipient, to-id</x:v>
      </x:c>
      <x:c r="G29" s="18" t="str">
        <x:v>严格命令域</x:v>
      </x:c>
    </x:row>
    <x:row r="30" ht="64" customHeight="1">
      <x:c r="A30" s="19" t="str">
        <x:v>命令覆盖</x:v>
      </x:c>
      <x:c r="B30" s="19" t="str">
        <x:v>chat +my-groups</x:v>
      </x:c>
      <x:c r="C30" s="19" t="str">
        <x:v>bind 2 / block 2 / ambiguous 1</x:v>
      </x:c>
      <x:c r="D30" s="19" t="str">
        <x:v>chat +my-groups</x:v>
      </x:c>
      <x:c r="E30" s="19" t="str">
        <x:v>仅在本命令启用已验证的 bind / scoped alias；其余近似参数保持拦截或歧义保护</x:v>
      </x:c>
      <x:c r="F30" s="19" t="str">
        <x:v>page, offset, group-type</x:v>
      </x:c>
      <x:c r="G30" s="19" t="str">
        <x:v>严格命令域</x:v>
      </x:c>
    </x:row>
    <x:row r="31" ht="64" customHeight="1">
      <x:c r="A31" s="18" t="str">
        <x:v>命令覆盖</x:v>
      </x:c>
      <x:c r="B31" s="18" t="str">
        <x:v>chat +thread-replies</x:v>
      </x:c>
      <x:c r="C31" s="18" t="str">
        <x:v>bind 2 / block 10 / ambiguous 5</x:v>
      </x:c>
      <x:c r="D31" s="18" t="str">
        <x:v>chat +thread-replies</x:v>
      </x:c>
      <x:c r="E31" s="18" t="str">
        <x:v>仅在本命令启用已验证的 bind / scoped alias；其余近似参数保持拦截或歧义保护</x:v>
      </x:c>
      <x:c r="F31" s="18" t="str">
        <x:v>conversation-ids, open-conversation-ids, msg-ids, message-ids, open-message-ids, open-task-id, thread-ids, topic-ids, page, offset, id, size, max-results, next-cursor, status</x:v>
      </x:c>
      <x:c r="G31" s="18" t="str">
        <x:v>严格命令域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31" hidden="0" customWidth="1"/>
    <x:col min="3" max="3" width="48" hidden="0" customWidth="1"/>
    <x:col min="4" max="4" width="15" hidden="0" customWidth="1"/>
    <x:col min="5" max="5" width="45" hidden="0" customWidth="1"/>
    <x:col min="6" max="6" width="48" hidden="0" customWidth="1"/>
  </x:cols>
  <x:sheetData>
    <x:row r="1" ht="34" customHeight="1">
      <x:c r="A1" s="4" t="str">
        <x:v>Chat 当前无法解决</x:v>
      </x:c>
      <x:c r="B1" s="4"/>
      <x:c r="C1" s="4"/>
      <x:c r="D1" s="4"/>
      <x:c r="E1" s="4"/>
      <x:c r="F1" s="4"/>
    </x:row>
    <x:row r="2" ht="30" customHeight="1">
      <x:c r="A2" s="8" t="str">
        <x:v>此页专列不应被别名表“强行拟合”的边界，避免把保护项误写成覆盖项</x:v>
      </x:c>
      <x:c r="B2" s="8"/>
      <x:c r="C2" s="8"/>
      <x:c r="D2" s="8"/>
      <x:c r="E2" s="8"/>
      <x:c r="F2" s="8"/>
    </x:row>
    <x:row r="4" ht="28" customHeight="1">
      <x:c r="A4" s="25" t="str">
        <x:v>序号</x:v>
      </x:c>
      <x:c r="B4" s="25" t="str">
        <x:v>命令</x:v>
      </x:c>
      <x:c r="C4" s="25" t="str">
        <x:v>不能自动解决的原因</x:v>
      </x:c>
      <x:c r="D4" s="25" t="str">
        <x:v>当前状态</x:v>
      </x:c>
      <x:c r="E4" s="25" t="str">
        <x:v>已提供的保护</x:v>
      </x:c>
      <x:c r="F4" s="25" t="str">
        <x:v>后续路径</x:v>
      </x:c>
    </x:row>
    <x:row r="5" ht="66" customHeight="1">
      <x:c r="A5" s="18" t="n">
        <x:v>1</x:v>
      </x:c>
      <x:c r="B5" s="18" t="str">
        <x:v>chat +conversation-list</x:v>
      </x:c>
      <x:c r="C5" s="18" t="str">
        <x:v>整数 cursor 与 token/page 模型不等价</x:v>
      </x:c>
      <x:c r="D5" s="18" t="str">
        <x:v>部分兜底</x:v>
      </x:c>
      <x:c r="E5" s="18" t="str">
        <x:v>limit concept；next-cursor 命令级映射；token/page 阻断</x:v>
      </x:c>
      <x:c r="F5" s="18" t="str">
        <x:v>需修改真实 CLI/框架，或由 Agent 明确选择真实参数；别名表不做查找、转换、枚举翻译或基数变化</x:v>
      </x:c>
    </x:row>
    <x:row r="6" ht="66" customHeight="1">
      <x:c r="A6" s="19" t="n">
        <x:v>2</x:v>
      </x:c>
      <x:c r="B6" s="19" t="str">
        <x:v>chat +conversation-list-top</x:v>
      </x:c>
      <x:c r="C6" s="19" t="str">
        <x:v>整数 cursor + 本地会话类型枚举</x:v>
      </x:c>
      <x:c r="D6" s="19" t="str">
        <x:v>部分兜底</x:v>
      </x:c>
      <x:c r="E6" s="19" t="str">
        <x:v>分页有限兜底；泛化 conversation-type 保持歧义</x:v>
      </x:c>
      <x:c r="F6" s="19" t="str">
        <x:v>需修改真实 CLI/框架，或由 Agent 明确选择真实参数；别名表不做查找、转换、枚举翻译或基数变化</x:v>
      </x:c>
    </x:row>
    <x:row r="7" ht="66" customHeight="1">
      <x:c r="A7" s="18" t="n">
        <x:v>3</x:v>
      </x:c>
      <x:c r="B7" s="18" t="str">
        <x:v>chat +chat-search</x:v>
      </x:c>
      <x:c r="C7" s="18" t="str">
        <x:v>两组公开同义 real flags 并存，额外 generic alias 无法选 canonical</x:v>
      </x:c>
      <x:c r="D7" s="18" t="str">
        <x:v>部分兜底</x:v>
      </x:c>
      <x:c r="E7" s="18" t="str">
        <x:v>query 可兜底；size/next-cursor 等设歧义</x:v>
      </x:c>
      <x:c r="F7" s="18" t="str">
        <x:v>需修改真实 CLI/框架，或由 Agent 明确选择真实参数；别名表不做查找、转换、枚举翻译或基数变化</x:v>
      </x:c>
    </x:row>
    <x:row r="8" ht="66" customHeight="1">
      <x:c r="A8" s="19" t="n">
        <x:v>4</x:v>
      </x:c>
      <x:c r="B8" s="19" t="str">
        <x:v>chat +chat-list-mine</x:v>
      </x:c>
      <x:c r="C8" s="19" t="str">
        <x:v>limit 是总量上限且没有 cursor；role 是枚举</x:v>
      </x:c>
      <x:c r="D8" s="19" t="str">
        <x:v>部分兜底</x:v>
      </x:c>
      <x:c r="E8" s="19" t="str">
        <x:v>仅 max-results / max-result 保留原值映射；page-size / per-page 阻断，size / take / top 与 type 保持歧义</x:v>
      </x:c>
      <x:c r="F8" s="19" t="str">
        <x:v>需修改真实 CLI/框架，或由 Agent 明确选择真实参数；别名表不做查找、转换、枚举翻译或基数变化</x:v>
      </x:c>
    </x:row>
    <x:row r="9" ht="66" customHeight="1">
      <x:c r="A9" s="18" t="n">
        <x:v>5</x:v>
      </x:c>
      <x:c r="B9" s="18" t="str">
        <x:v>chat +chat-list</x:v>
      </x:c>
      <x:c r="C9" s="18" t="str">
        <x:v>两组真实兼容参数并存；types 是列表枚举</x:v>
      </x:c>
      <x:c r="D9" s="18" t="str">
        <x:v>仅保护</x:v>
      </x:c>
      <x:c r="E9" s="18" t="str">
        <x:v>不再造第三 canonical；generic size/cursor/type 歧义</x:v>
      </x:c>
      <x:c r="F9" s="18" t="str">
        <x:v>需修改真实 CLI/框架，或由 Agent 明确选择真实参数；别名表不做查找、转换、枚举翻译或基数变化</x:v>
      </x:c>
    </x:row>
    <x:row r="10" ht="66" customHeight="1">
      <x:c r="A10" s="19" t="n">
        <x:v>6</x:v>
      </x:c>
      <x:c r="B10" s="19" t="str">
        <x:v>chat +messages-recall</x:v>
      </x:c>
      <x:c r="C10" s="19" t="str">
        <x:v>会话 ID、消息 ID、发送 openTaskId、threadId 角色冲突</x:v>
      </x:c>
      <x:c r="D10" s="19" t="str">
        <x:v>部分兜底</x:v>
      </x:c>
      <x:c r="E10" s="19" t="str">
        <x:v>复用 open conversation/message concepts；其他 ID 域阻断</x:v>
      </x:c>
      <x:c r="F10" s="19" t="str">
        <x:v>需修改真实 CLI/框架，或由 Agent 明确选择真实参数；别名表不做查找、转换、枚举翻译或基数变化</x:v>
      </x:c>
    </x:row>
    <x:row r="11" ht="66" customHeight="1">
      <x:c r="A11" s="18" t="n">
        <x:v>7</x:v>
      </x:c>
      <x:c r="B11" s="18" t="str">
        <x:v>chat +messages-query-send-status</x:v>
      </x:c>
      <x:c r="C11" s="18" t="str">
        <x:v>openTaskId 不是 openMessageId，也不是 Todo taskId</x:v>
      </x:c>
      <x:c r="D11" s="18" t="str">
        <x:v>仅保护</x:v>
      </x:c>
      <x:c r="E11" s="18" t="str">
        <x:v>不新建单命令 concept；错误 ID 域阻断</x:v>
      </x:c>
      <x:c r="F11" s="18" t="str">
        <x:v>需修改真实 CLI/框架，或由 Agent 明确选择真实参数；别名表不做查找、转换、枚举翻译或基数变化</x:v>
      </x:c>
    </x:row>
    <x:row r="12" ht="66" customHeight="1">
      <x:c r="A12" s="19" t="n">
        <x:v>8</x:v>
      </x:c>
      <x:c r="B12" s="19" t="str">
        <x:v>chat +messages-create-text-emotion</x:v>
      </x:c>
      <x:c r="C12" s="19" t="str">
        <x:v>创建名称/正文与既有 emotionId/backgroundId 易混</x:v>
      </x:c>
      <x:c r="D12" s="19" t="str">
        <x:v>部分兜底</x:v>
      </x:c>
      <x:c r="E12" s="19" t="str">
        <x:v>正文 concept + 名称角色别名；existing ID 阻断</x:v>
      </x:c>
      <x:c r="F12" s="19" t="str">
        <x:v>需修改真实 CLI/框架，或由 Agent 明确选择真实参数；别名表不做查找、转换、枚举翻译或基数变化</x:v>
      </x:c>
    </x:row>
    <x:row r="13" ht="66" customHeight="1">
      <x:c r="A13" s="18" t="n">
        <x:v>9</x:v>
      </x:c>
      <x:c r="B13" s="18" t="str">
        <x:v>chat +messages-send-card</x:v>
      </x:c>
      <x:c r="C13" s="18" t="str">
        <x:v>三个目标域 + @列表 + 卡片状态并存</x:v>
      </x:c>
      <x:c r="D13" s="18" t="str">
        <x:v>部分兜底</x:v>
      </x:c>
      <x:c r="E13" s="18" t="str">
        <x:v>ID concept 仅绑定同值域；openDingTalkId 只允许角色完整别名</x:v>
      </x:c>
      <x:c r="F13" s="18" t="str">
        <x:v>需修改真实 CLI/框架，或由 Agent 明确选择真实参数；别名表不做查找、转换、枚举翻译或基数变化</x:v>
      </x:c>
    </x:row>
    <x:row r="14" ht="66" customHeight="1">
      <x:c r="A14" s="19" t="n">
        <x:v>10</x:v>
      </x:c>
      <x:c r="B14" s="19" t="str">
        <x:v>chat +messages-update-card</x:v>
      </x:c>
      <x:c r="C14" s="19" t="str">
        <x:v>卡片 bizId/状态不是消息 ID/投递状态</x:v>
      </x:c>
      <x:c r="D14" s="19" t="str">
        <x:v>部分兜底</x:v>
      </x:c>
      <x:c r="E14" s="19" t="str">
        <x:v>正文可兜底；卡片角色别名；错误 ID 阻断</x:v>
      </x:c>
      <x:c r="F14" s="19" t="str">
        <x:v>需修改真实 CLI/框架，或由 Agent 明确选择真实参数；别名表不做查找、转换、枚举翻译或基数变化</x:v>
      </x:c>
    </x:row>
    <x:row r="15" ht="66" customHeight="1">
      <x:c r="A15" s="18" t="n">
        <x:v>11</x:v>
      </x:c>
      <x:c r="B15" s="18" t="str">
        <x:v>chat +messages-send</x:v>
      </x:c>
      <x:c r="C15" s="18" t="str">
        <x:v>身份能力矩阵包含多目标域、多基数、多内容类型</x:v>
      </x:c>
      <x:c r="D15" s="18" t="str">
        <x:v>部分兜底</x:v>
      </x:c>
      <x:c r="E15" s="18" t="str">
        <x:v>只映射明确 user/robot/CID 角色；generic content/recipient/at-ids 歧义</x:v>
      </x:c>
      <x:c r="F15" s="18" t="str">
        <x:v>需修改真实 CLI/框架，或由 Agent 明确选择真实参数；别名表不做查找、转换、枚举翻译或基数变化</x:v>
      </x:c>
    </x:row>
    <x:row r="16" ht="66" customHeight="1">
      <x:c r="A16" s="19" t="n">
        <x:v>12</x:v>
      </x:c>
      <x:c r="B16" s="19" t="str">
        <x:v>chat +at-me</x:v>
      </x:c>
      <x:c r="C16" s="19" t="str">
        <x:v>group 可为 CID 或名称；当前用户是隐式目标</x:v>
      </x:c>
      <x:c r="D16" s="19" t="str">
        <x:v>部分兜底</x:v>
      </x:c>
      <x:c r="E16" s="19" t="str">
        <x:v>CID/群名原值映射；用户 ID 歧义；分页复用</x:v>
      </x:c>
      <x:c r="F16" s="19" t="str">
        <x:v>需修改真实 CLI/框架，或由 Agent 明确选择真实参数；别名表不做查找、转换、枚举翻译或基数变化</x:v>
      </x:c>
    </x:row>
    <x:row r="17" ht="66" customHeight="1">
      <x:c r="A17" s="18" t="n">
        <x:v>13</x:v>
      </x:c>
      <x:c r="B17" s="18" t="str">
        <x:v>chat +broadcast</x:v>
      </x:c>
      <x:c r="C17" s="18" t="str">
        <x:v>自然姓名列表不是 userId/openDingTalkId 列表</x:v>
      </x:c>
      <x:c r="D17" s="18" t="str">
        <x:v>部分兜底</x:v>
      </x:c>
      <x:c r="E17" s="18" t="str">
        <x:v>仅姓名列表角色别名；稳定 ID 阻断</x:v>
      </x:c>
      <x:c r="F17" s="18" t="str">
        <x:v>需修改真实 CLI/框架，或由 Agent 明确选择真实参数；别名表不做查找、转换、枚举翻译或基数变化</x:v>
      </x:c>
    </x:row>
    <x:row r="18" ht="66" customHeight="1">
      <x:c r="A18" s="19" t="n">
        <x:v>14</x:v>
      </x:c>
      <x:c r="B18" s="19" t="str">
        <x:v>chat +dm</x:v>
      </x:c>
      <x:c r="C18" s="19" t="str">
        <x:v>自然姓名单值不是稳定 ID</x:v>
      </x:c>
      <x:c r="D18" s="19" t="str">
        <x:v>部分兜底</x:v>
      </x:c>
      <x:c r="E18" s="19" t="str">
        <x:v>仅姓名角色别名；稳定 ID 阻断</x:v>
      </x:c>
      <x:c r="F18" s="19" t="str">
        <x:v>需修改真实 CLI/框架，或由 Agent 明确选择真实参数；别名表不做查找、转换、枚举翻译或基数变化</x:v>
      </x:c>
    </x:row>
    <x:row r="19" ht="66" customHeight="1">
      <x:c r="A19" s="18" t="n">
        <x:v>15</x:v>
      </x:c>
      <x:c r="B19" s="18" t="str">
        <x:v>chat +my-groups</x:v>
      </x:c>
      <x:c r="C19" s="18" t="str">
        <x:v>type 是客户端过滤；opaque cursor 与页码不同</x:v>
      </x:c>
      <x:c r="D19" s="18" t="str">
        <x:v>部分兜底</x:v>
      </x:c>
      <x:c r="E19" s="18" t="str">
        <x:v>分页 concept；页码阻断；group-type 歧义</x:v>
      </x:c>
      <x:c r="F19" s="18" t="str">
        <x:v>需修改真实 CLI/框架，或由 Agent 明确选择真实参数；别名表不做查找、转换、枚举翻译或基数变化</x:v>
      </x:c>
    </x:row>
    <x:row r="20" ht="66" customHeight="1">
      <x:c r="A20" s="19" t="n">
        <x:v>16</x:v>
      </x:c>
      <x:c r="B20" s="19" t="str">
        <x:v>chat +thread-replies</x:v>
      </x:c>
      <x:c r="C20" s="19" t="str">
        <x:v>会话/主消息/thread 三类 ID；两组真实兼容参数并存</x:v>
      </x:c>
      <x:c r="D20" s="19" t="str">
        <x:v>部分兜底</x:v>
      </x:c>
      <x:c r="E20" s="19" t="str">
        <x:v>会话/消息 concept；plural/task ID 阻断；generic size/id 歧义</x:v>
      </x:c>
      <x:c r="F20" s="19" t="str">
        <x:v>需修改真实 CLI/框架，或由 Agent 明确选择真实参数；别名表不做查找、转换、枚举翻译或基数变化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8" hidden="0" customWidth="1"/>
    <x:col min="3" max="3" width="14" hidden="0" customWidth="1"/>
    <x:col min="4" max="4" width="64" hidden="0" customWidth="1"/>
  </x:cols>
  <x:sheetData>
    <x:row r="1" ht="34" customHeight="1">
      <x:c r="A1" s="4" t="str">
        <x:v>Chat 分析依据</x:v>
      </x:c>
      <x:c r="B1" s="4"/>
      <x:c r="C1" s="4"/>
      <x:c r="D1" s="4"/>
    </x:row>
    <x:row r="2" ht="30" customHeight="1">
      <x:c r="A2" s="8" t="str">
        <x:v>事实优先级：同提交 Help/Cobra &gt; 同提交运行时 Schema &gt; Skill &gt; 正式参数兜底配置</x:v>
      </x:c>
      <x:c r="B2" s="8"/>
      <x:c r="C2" s="8"/>
      <x:c r="D2" s="8"/>
    </x:row>
    <x:row r="4" ht="28" customHeight="1">
      <x:c r="A4" s="31" t="str">
        <x:v>依据类型</x:v>
      </x:c>
      <x:c r="B4" s="31" t="str">
        <x:v>来源 / 命令</x:v>
      </x:c>
      <x:c r="C4" s="31" t="str">
        <x:v>状态</x:v>
      </x:c>
      <x:c r="D4" s="31" t="str">
        <x:v>结论</x:v>
      </x:c>
    </x:row>
    <x:row r="5" ht="48" customHeight="1">
      <x:c r="A5" s="18" t="str">
        <x:v>冻结基线</x:v>
      </x:c>
      <x:c r="B5" s="18" t="str">
        <x:v>origin/main@f4474b57eb1db23b1638b9574be2f5dca368a360</x:v>
      </x:c>
      <x:c r="C5" s="18" t="str">
        <x:v>通过</x:v>
      </x:c>
      <x:c r="D5" s="18" t="str">
        <x:v>同提交构建与审计，避免跨版本事实混用</x:v>
      </x:c>
    </x:row>
    <x:row r="6" ht="48" customHeight="1">
      <x:c r="A6" s="19" t="str">
        <x:v>真实 Help/Cobra</x:v>
      </x:c>
      <x:c r="B6" s="19" t="str">
        <x:v>./dws &lt;product&gt; ... --help</x:v>
      </x:c>
      <x:c r="C6" s="19" t="str">
        <x:v>已核对</x:v>
      </x:c>
      <x:c r="D6" s="19" t="str">
        <x:v>真实可执行 flag 与约束为最高优先级</x:v>
      </x:c>
    </x:row>
    <x:row r="7" ht="48" customHeight="1">
      <x:c r="A7" s="18" t="str">
        <x:v>运行时 Schema</x:v>
      </x:c>
      <x:c r="B7" s="18" t="str">
        <x:v>./dws schema --cli-path &lt;path&gt; --compact -f json</x:v>
      </x:c>
      <x:c r="C7" s="18" t="str">
        <x:v>已核对</x:v>
      </x:c>
      <x:c r="D7" s="18" t="str">
        <x:v>同一二进制运行时组装，不使用提交态 Catalog</x:v>
      </x:c>
    </x:row>
    <x:row r="8" ht="48" customHeight="1">
      <x:c r="A8" s="19" t="str">
        <x:v>产品 Skill</x:v>
      </x:c>
      <x:c r="B8" s="19" t="str">
        <x:v>skills/multi 对应 product references</x:v>
      </x:c>
      <x:c r="C8" s="19" t="str">
        <x:v>已核对</x:v>
      </x:c>
      <x:c r="D8" s="19" t="str">
        <x:v>用于核对推荐路径、上下文传递和业务边界</x:v>
      </x:c>
    </x:row>
    <x:row r="9" ht="48" customHeight="1">
      <x:c r="A9" s="18" t="str">
        <x:v>正式别名表</x:v>
      </x:c>
      <x:c r="B9" s="18" t="str">
        <x:v>internal/cli/param_concepts.json</x:v>
      </x:c>
      <x:c r="C9" s="18" t="str">
        <x:v>已核对</x:v>
      </x:c>
      <x:c r="D9" s="18" t="str">
        <x:v>候选基于完整正式表复制，正式文件保持零差异</x:v>
      </x:c>
    </x:row>
    <x:row r="10" ht="48" customHeight="1">
      <x:c r="A10" s="19" t="str">
        <x:v>测试模板</x:v>
      </x:c>
      <x:c r="B10" s="19" t="str">
        <x:v>internal/app/param_alias_payload_equivalence_test.go</x:v>
      </x:c>
      <x:c r="C10" s="19" t="str">
        <x:v>已补齐</x:v>
      </x:c>
      <x:c r="D10" s="19" t="str">
        <x:v>candidate-only；未启用候选时不扩大既有 activeCommands</x:v>
      </x:c>
    </x:row>
    <x:row r="11" ht="48" customHeight="1">
      <x:c r="A11" s="18" t="str">
        <x:v>验证门禁</x:v>
      </x:c>
      <x:c r="B11" s="18" t="str">
        <x:v>JSON/Schema 闭合校验</x:v>
      </x:c>
      <x:c r="C11" s="18" t="str">
        <x:v>通过</x:v>
      </x:c>
      <x:c r="D11" s="18" t="str">
        <x:v>隔离候选替换、执行、自动恢复</x:v>
      </x:c>
    </x:row>
    <x:row r="12" ht="48" customHeight="1">
      <x:c r="A12" s="19" t="str">
        <x:v>验证门禁</x:v>
      </x:c>
      <x:c r="B12" s="19" t="str">
        <x:v>go generate / reduction</x:v>
      </x:c>
      <x:c r="C12" s="19" t="str">
        <x:v>通过</x:v>
      </x:c>
      <x:c r="D12" s="19" t="str">
        <x:v>隔离候选替换、执行、自动恢复</x:v>
      </x:c>
    </x:row>
    <x:row r="13" ht="48" customHeight="1">
      <x:c r="A13" s="18" t="str">
        <x:v>验证门禁</x:v>
      </x:c>
      <x:c r="B13" s="18" t="str">
        <x:v>全部 PreParse fixture</x:v>
      </x:c>
      <x:c r="C13" s="18" t="str">
        <x:v>通过</x:v>
      </x:c>
      <x:c r="D13" s="18" t="str">
        <x:v>隔离候选替换、执行、自动恢复</x:v>
      </x:c>
    </x:row>
    <x:row r="14" ht="48" customHeight="1">
      <x:c r="A14" s="19" t="str">
        <x:v>验证门禁</x:v>
      </x:c>
      <x:c r="B14" s="19" t="str">
        <x:v>Candidate-only 完整命令模板</x:v>
      </x:c>
      <x:c r="C14" s="19" t="str">
        <x:v>通过</x:v>
      </x:c>
      <x:c r="D14" s="19" t="str">
        <x:v>隔离候选替换、执行、自动恢复</x:v>
      </x:c>
    </x:row>
    <x:row r="15" ht="48" customHeight="1">
      <x:c r="A15" s="18" t="str">
        <x:v>验证门禁</x:v>
      </x:c>
      <x:c r="B15" s="18" t="str">
        <x:v>移除 --yes 后确认不可绕过</x:v>
      </x:c>
      <x:c r="C15" s="18" t="str">
        <x:v>通过</x:v>
      </x:c>
      <x:c r="D15" s="18" t="str">
        <x:v>隔离候选替换、执行、自动恢复</x:v>
      </x:c>
    </x:row>
    <x:row r="16" ht="48" customHeight="1">
      <x:c r="A16" s="19" t="str">
        <x:v>验证门禁</x:v>
      </x:c>
      <x:c r="B16" s="19" t="str">
        <x:v>非目标别名回归</x:v>
      </x:c>
      <x:c r="C16" s="19" t="str">
        <x:v>通过</x:v>
      </x:c>
      <x:c r="D16" s="19" t="str">
        <x:v>隔离候选替换、执行、自动恢复</x:v>
      </x:c>
    </x:row>
    <x:row r="17" ht="48" customHeight="1">
      <x:c r="A17" s="18" t="str">
        <x:v>验证门禁</x:v>
      </x:c>
      <x:c r="B17" s="18" t="str">
        <x:v>check-generated-drift.sh</x:v>
      </x:c>
      <x:c r="C17" s="18" t="str">
        <x:v>通过</x:v>
      </x:c>
      <x:c r="D17" s="18" t="str">
        <x:v>隔离候选替换、执行、自动恢复</x:v>
      </x:c>
    </x:row>
    <x:row r="18" ht="48" customHeight="1">
      <x:c r="A18" s="19" t="str">
        <x:v>验证门禁</x:v>
      </x:c>
      <x:c r="B18" s="19" t="str">
        <x:v>check-schema-catalog.sh</x:v>
      </x:c>
      <x:c r="C18" s="19" t="str">
        <x:v>通过</x:v>
      </x:c>
      <x:c r="D18" s="19" t="str">
        <x:v>隔离候选替换、执行、自动恢复</x:v>
      </x:c>
    </x:row>
    <x:row r="19" ht="48" customHeight="1">
      <x:c r="A19" s="18" t="str">
        <x:v>验证门禁</x:v>
      </x:c>
      <x:c r="B19" s="18" t="str">
        <x:v>正式别名表零差异</x:v>
      </x:c>
      <x:c r="C19" s="18" t="str">
        <x:v>通过</x:v>
      </x:c>
      <x:c r="D19" s="18" t="str">
        <x:v>工作树正式 internal/cli/param_concepts.json 未修改</x:v>
      </x:c>
    </x:row>
  </x:sheetData>
  <x:mergeCells>
    <x:mergeCell ref="A1:D1"/>
    <x:mergeCell ref="A2:D2"/>
  </x:mergeCells>
  <x:pageMargins left="0.7" right="0.7" top="0.75" bottom="0.75" header="0.3" footer="0.3"/>
</x:worksheet>
</file>