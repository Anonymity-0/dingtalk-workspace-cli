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f9ead19a2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da32f7a387e24282"/>
    <x:sheet xmlns:r="http://schemas.openxmlformats.org/officeDocument/2006/relationships" name="参数问题明细" sheetId="2" r:id="R9b2bb0a852a14912"/>
    <x:sheet xmlns:r="http://schemas.openxmlformats.org/officeDocument/2006/relationships" name="兜底解决方案" sheetId="3" r:id="R1aae149ee26a49e4"/>
    <x:sheet xmlns:r="http://schemas.openxmlformats.org/officeDocument/2006/relationships" name="当前无法解决" sheetId="4" r:id="Rb2cca87b40044be4"/>
    <x:sheet xmlns:r="http://schemas.openxmlformats.org/officeDocument/2006/relationships" name="分析依据" sheetId="5" r:id="R6e4aaf7e36d5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07080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10"/>
      <x:color rgb="FF203040"/>
      <x:name val="Carlito"/>
    </x:font>
    <x:font>
      <x:b/>
      <x:sz val="16"/>
      <x:color rgb="FF17324D"/>
      <x:name val="Carlito"/>
    </x:font>
    <x:font>
      <x:b/>
      <x:sz val="12"/>
      <x:color rgb="FF203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8FAFC"/>
      </x:patternFill>
    </x:fill>
    <x:fill>
      <x:patternFill patternType="solid">
        <x:fgColor rgb="FF9A5B2F"/>
      </x:patternFill>
    </x:fill>
    <x:fill>
      <x:patternFill patternType="solid">
        <x:fgColor rgb="FF2A7F7F"/>
      </x:patternFill>
    </x:fill>
    <x:fill>
      <x:patternFill patternType="solid">
        <x:fgColor rgb="FFE8F4F2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medium">
        <x:color rgb="FF2A7F7F"/>
      </x:left>
      <x:top style="medium">
        <x:color rgb="FF2A7F7F"/>
      </x:top>
    </x:border>
    <x:border>
      <x:top style="medium">
        <x:color rgb="FF2A7F7F"/>
      </x:top>
    </x:border>
    <x:border>
      <x:right style="medium">
        <x:color rgb="FF2A7F7F"/>
      </x:right>
      <x:top style="medium">
        <x:color rgb="FF2A7F7F"/>
      </x:top>
    </x:border>
    <x:border>
      <x:left style="medium">
        <x:color rgb="FF2A7F7F"/>
      </x:left>
      <x:bottom style="medium">
        <x:color rgb="FF2A7F7F"/>
      </x:bottom>
    </x:border>
    <x:border>
      <x:bottom style="medium">
        <x:color rgb="FF2A7F7F"/>
      </x:bottom>
    </x:border>
    <x:border>
      <x:right style="medium">
        <x:color rgb="FF2A7F7F"/>
      </x:right>
      <x:bottom style="medium">
        <x:color rgb="FF2A7F7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89443a2974bdd" /><Relationship Type="http://schemas.openxmlformats.org/officeDocument/2006/relationships/theme" Target="/xl/theme/theme1.xml" Id="R27010139a6cd4a88" /><Relationship Type="http://schemas.openxmlformats.org/officeDocument/2006/relationships/sharedStrings" Target="/xl/sharedStrings.xml" Id="R89e72de484354ed3" /><Relationship Type="http://schemas.openxmlformats.org/officeDocument/2006/relationships/worksheet" Target="/xl/worksheets/sheet1.xml" Id="Rda32f7a387e24282" /><Relationship Type="http://schemas.openxmlformats.org/officeDocument/2006/relationships/worksheet" Target="/xl/worksheets/sheet2.xml" Id="R9b2bb0a852a14912" /><Relationship Type="http://schemas.openxmlformats.org/officeDocument/2006/relationships/worksheet" Target="/xl/worksheets/sheet3.xml" Id="R1aae149ee26a49e4" /><Relationship Type="http://schemas.openxmlformats.org/officeDocument/2006/relationships/worksheet" Target="/xl/worksheets/sheet4.xml" Id="Rb2cca87b40044be4" /><Relationship Type="http://schemas.openxmlformats.org/officeDocument/2006/relationships/worksheet" Target="/xl/worksheets/sheet5.xml" Id="R6e4aaf7e36d546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43" hidden="0" customWidth="1"/>
    <x:col min="4" max="4" width="4" hidden="0" customWidth="1"/>
    <x:col min="5" max="5" width="16" hidden="0" customWidth="1"/>
    <x:col min="6" max="6" width="13" hidden="0" customWidth="1"/>
    <x:col min="7" max="7" width="43" hidden="0" customWidth="1"/>
    <x:col min="8" max="8" width="4" hidden="0" customWidth="1"/>
  </x:cols>
  <x:sheetData>
    <x:row r="1" ht="34" customHeight="1">
      <x:c r="A1" s="4" t="str">
        <x:v>AITable CLI 参数幻觉复核总览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冻结基线 f4474b57eb1db23b1638b9574be2f5dca368a360｜正式别名表未修改｜候选、报告、五页工作簿独立交付</x:v>
      </x:c>
      <x:c r="B2" s="8"/>
      <x:c r="C2" s="8"/>
      <x:c r="D2" s="8"/>
      <x:c r="E2" s="8"/>
      <x:c r="F2" s="8"/>
      <x:c r="G2" s="8"/>
      <x:c r="H2" s="8"/>
    </x:row>
    <x:row r="4" ht="28" customHeight="1">
      <x:c r="A4" s="36" t="str">
        <x:v>产品：AITable</x:v>
      </x:c>
      <x:c r="B4" s="36"/>
      <x:c r="C4" s="36" t="str">
        <x:v>覆盖命令：11</x:v>
      </x:c>
      <x:c r="D4" s="36"/>
      <x:c r="E4" s="36" t="str">
        <x:v>候选：param_concepts.json</x:v>
      </x:c>
      <x:c r="F4" s="36"/>
      <x:c r="G4" s="36" t="str">
        <x:v>验证：全部门禁通过</x:v>
      </x:c>
      <x:c r="H4" s="36"/>
    </x:row>
    <x:row r="6" ht="38" customHeight="1">
      <x:c r="A6" s="38" t="str">
        <x:v>分析命令数</x:v>
      </x:c>
      <x:c r="B6" s="42" t="n">
        <x:f>COUNTA('参数问题明细'!B5:B15)</x:f>
        <x:v>11</x:v>
      </x:c>
      <x:c r="C6" s="38" t="str">
        <x:v>可自动兜底</x:v>
      </x:c>
      <x:c r="D6" s="42" t="n">
        <x:f>COUNTIF('参数问题明细'!F5:F15,"可自动兜底")</x:f>
        <x:v>0</x:v>
      </x:c>
      <x:c r="E6" s="38" t="str">
        <x:v>部分兜底</x:v>
      </x:c>
      <x:c r="F6" s="42" t="n">
        <x:f>COUNTIF('参数问题明细'!F5:F15,"部分兜底")</x:f>
        <x:v>11</x:v>
      </x:c>
      <x:c r="G6" s="38" t="str">
        <x:v>仅保护</x:v>
      </x:c>
      <x:c r="H6" s="42" t="n">
        <x:f>COUNTIF('参数问题明细'!F5:F15,"仅保护")</x:f>
        <x:v>0</x:v>
      </x:c>
    </x:row>
    <x:row r="8">
      <x:c r="A8" s="56" t="str">
        <x:v>结论：候选变更 4 个 concept、11 个 command override、46 条 fixture；逐产品生成与政策门禁均通过。</x:v>
      </x:c>
      <x:c r="B8" s="57"/>
      <x:c r="C8" s="57"/>
      <x:c r="D8" s="57"/>
      <x:c r="E8" s="57"/>
      <x:c r="F8" s="57"/>
      <x:c r="G8" s="57"/>
      <x:c r="H8" s="58"/>
    </x:row>
    <x:row r="9">
      <x:c r="A9" s="59"/>
      <x:c r="B9" s="60"/>
      <x:c r="C9" s="60"/>
      <x:c r="D9" s="60"/>
      <x:c r="E9" s="60"/>
      <x:c r="F9" s="60"/>
      <x:c r="G9" s="60"/>
      <x:c r="H9" s="61"/>
    </x:row>
    <x:row r="11">
      <x:c r="A11" s="64" t="str">
        <x:v>落地层级</x:v>
      </x:c>
      <x:c r="B11" s="64" t="str">
        <x:v>状态</x:v>
      </x:c>
      <x:c r="C11" s="64" t="str">
        <x:v>说明</x:v>
      </x:c>
      <x:c r="D11" s="64" t="str"/>
      <x:c r="E11" s="64" t="str">
        <x:v>落地层级</x:v>
      </x:c>
      <x:c r="F11" s="64" t="str">
        <x:v>状态</x:v>
      </x:c>
      <x:c r="G11" s="64" t="str">
        <x:v>说明</x:v>
      </x:c>
      <x:c r="H11" s="64" t="str"/>
    </x:row>
    <x:row r="12" ht="36" customHeight="1">
      <x:c r="A12" s="18" t="str">
        <x:v>Help/Schema/Skill 事实审计</x:v>
      </x:c>
      <x:c r="B12" s="18" t="str">
        <x:v>完成</x:v>
      </x:c>
      <x:c r="C12" s="18" t="str">
        <x:v>42 命令总盘点中的本产品范围</x:v>
      </x:c>
      <x:c r="D12" s="18" t="str"/>
      <x:c r="E12" s="18" t="str">
        <x:v>正式别名表</x:v>
      </x:c>
      <x:c r="F12" s="18" t="str">
        <x:v>未修改</x:v>
      </x:c>
      <x:c r="G12" s="18" t="str">
        <x:v>待评审后另行落地</x:v>
      </x:c>
      <x:c r="H12" s="18" t="str"/>
    </x:row>
    <x:row r="13" ht="36" customHeight="1">
      <x:c r="A13" s="18" t="str">
        <x:v>完整候选草稿</x:v>
      </x:c>
      <x:c r="B13" s="18" t="str">
        <x:v>完成</x:v>
      </x:c>
      <x:c r="C13" s="18" t="str">
        <x:v>单行紧凑格式，基于正式表完整复制</x:v>
      </x:c>
      <x:c r="D13" s="18" t="str"/>
      <x:c r="E13" s="18" t="str">
        <x:v>PreParse 与模板</x:v>
      </x:c>
      <x:c r="F13" s="18" t="str">
        <x:v>通过</x:v>
      </x:c>
      <x:c r="G13" s="18" t="str">
        <x:v>含确认不可绕过</x:v>
      </x:c>
      <x:c r="H13" s="18" t="str"/>
    </x:row>
    <x:row r="14" ht="36" customHeight="1">
      <x:c r="A14" s="18" t="str">
        <x:v>仓库政策</x:v>
      </x:c>
      <x:c r="B14" s="18" t="str">
        <x:v>通过</x:v>
      </x:c>
      <x:c r="C14" s="18" t="str">
        <x:v>generated drift + Schema catalog</x:v>
      </x:c>
      <x:c r="D14" s="18" t="str"/>
      <x:c r="E14" s="18" t="str">
        <x:v>XLSX 视觉核验</x:v>
      </x:c>
      <x:c r="F14" s="18" t="str">
        <x:v>完成</x:v>
      </x:c>
      <x:c r="G14" s="18" t="str">
        <x:v>五页中文工作簿</x:v>
      </x:c>
      <x:c r="H14" s="18" t="str"/>
    </x:row>
    <x:row r="15" ht="36" customHeight="1">
      <x:c r="A15" s="18" t="str">
        <x:v>当前阻塞</x:v>
      </x:c>
      <x:c r="B15" s="18" t="str">
        <x:v>无</x:v>
      </x:c>
      <x:c r="C15" s="18" t="str">
        <x:v>无候选内阻塞</x:v>
      </x:c>
      <x:c r="D15" s="18" t="str"/>
      <x:c r="E15" s="18" t="str">
        <x:v>下一步</x:v>
      </x:c>
      <x:c r="F15" s="18" t="str">
        <x:v>评审</x:v>
      </x:c>
      <x:c r="G15" s="18" t="str">
        <x:v>决定是否合入正式表</x:v>
      </x:c>
      <x:c r="H15" s="18" t="str"/>
    </x:row>
  </x:sheetData>
  <x:mergeCells>
    <x:mergeCell ref="A1:H1"/>
    <x:mergeCell ref="A2:H2"/>
    <x:mergeCell ref="A4:B4"/>
    <x:mergeCell ref="C4:D4"/>
    <x:mergeCell ref="E4:F4"/>
    <x:mergeCell ref="G4:H4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45" hidden="0" customWidth="1"/>
    <x:col min="5" max="5" width="48" hidden="0" customWidth="1"/>
    <x:col min="6" max="6" width="14" hidden="0" customWidth="1"/>
    <x:col min="7" max="7" width="10" hidden="0" customWidth="1"/>
  </x:cols>
  <x:sheetData>
    <x:row r="1" ht="34" customHeight="1">
      <x:c r="A1" s="4" t="str">
        <x:v>AITable 参数问题明细</x:v>
      </x:c>
      <x:c r="B1" s="4"/>
      <x:c r="C1" s="4"/>
      <x:c r="D1" s="4"/>
      <x:c r="E1" s="4"/>
      <x:c r="F1" s="4"/>
      <x:c r="G1" s="4"/>
    </x:row>
    <x:row r="2" ht="30" customHeight="1">
      <x:c r="A2" s="8" t="str">
        <x:v>冻结基线 f4474b57eb1db23b1638b9574be2f5dca368a360｜逐命令核对真实 Help/Cobra、运行时 Schema、Skill 与正式别名表</x:v>
      </x:c>
      <x:c r="B2" s="8"/>
      <x:c r="C2" s="8"/>
      <x:c r="D2" s="8"/>
      <x:c r="E2" s="8"/>
      <x:c r="F2" s="8"/>
      <x:c r="G2" s="8"/>
    </x:row>
    <x:row r="4" ht="28" customHeight="1">
      <x:c r="A4" s="14" t="str">
        <x:v>序号</x:v>
      </x:c>
      <x:c r="B4" s="14" t="str">
        <x:v>命令</x:v>
      </x:c>
      <x:c r="C4" s="14" t="str">
        <x:v>真实参数焦点</x:v>
      </x:c>
      <x:c r="D4" s="14" t="str">
        <x:v>参数幻觉风险</x:v>
      </x:c>
      <x:c r="E4" s="14" t="str">
        <x:v>候选处理</x:v>
      </x:c>
      <x:c r="F4" s="14" t="str">
        <x:v>落地能力</x:v>
      </x:c>
      <x:c r="G4" s="14" t="str">
        <x:v>风险等级</x:v>
      </x:c>
    </x:row>
    <x:row r="5" ht="62" customHeight="1">
      <x:c r="A5" s="18" t="n">
        <x:v>1</x:v>
      </x:c>
      <x:c r="B5" s="18" t="str">
        <x:v>aitable +base-bootstrap</x:v>
      </x:c>
      <x:c r="C5" s="18" t="str">
        <x:v>name,folder-id,template-id,tables</x:v>
      </x:c>
      <x:c r="D5" s="18" t="str">
        <x:v>创建目标与已有 Base/Table ID 易混；tables 是定义 JSON</x:v>
      </x:c>
      <x:c r="E5" s="18" t="str">
        <x:v>仅角色完整的名称/文件夹/模板/JSON 别名；已有资源 ID 阻断</x:v>
      </x:c>
      <x:c r="F5" s="18" t="str">
        <x:v>部分兜底</x:v>
      </x:c>
      <x:c r="G5" s="18" t="str">
        <x:v>高</x:v>
      </x:c>
    </x:row>
    <x:row r="6" ht="62" customHeight="1">
      <x:c r="A6" s="19" t="n">
        <x:v>2</x:v>
      </x:c>
      <x:c r="B6" s="19" t="str">
        <x:v>aitable +table-bootstrap</x:v>
      </x:c>
      <x:c r="C6" s="19" t="str">
        <x:v>base-id,name,fields</x:v>
      </x:c>
      <x:c r="D6" s="19" t="str">
        <x:v>fields 定义 JSON 与 field-ids 列表不是同一实体</x:v>
      </x:c>
      <x:c r="E6" s="19" t="str">
        <x:v>复用 base_id；定义 JSON 仅命令级别名；field-ids 阻断</x:v>
      </x:c>
      <x:c r="F6" s="19" t="str">
        <x:v>部分兜底</x:v>
      </x:c>
      <x:c r="G6" s="19" t="str">
        <x:v>高</x:v>
      </x:c>
    </x:row>
    <x:row r="7" ht="62" customHeight="1">
      <x:c r="A7" s="18" t="n">
        <x:v>3</x:v>
      </x:c>
      <x:c r="B7" s="18" t="str">
        <x:v>aitable +url-resolve</x:v>
      </x:c>
      <x:c r="C7" s="18" t="str">
        <x:v>url,verify</x:v>
      </x:c>
      <x:c r="D7" s="18" t="str">
        <x:v>URL 与拆出的 base/table/view/record ID 不能互换</x:v>
      </x:c>
      <x:c r="E7" s="18" t="str">
        <x:v>URL 角色别名可映射；独立 ID 阻断</x:v>
      </x:c>
      <x:c r="F7" s="18" t="str">
        <x:v>部分兜底</x:v>
      </x:c>
      <x:c r="G7" s="18" t="str">
        <x:v>中</x:v>
      </x:c>
    </x:row>
    <x:row r="8" ht="62" customHeight="1">
      <x:c r="A8" s="19" t="n">
        <x:v>4</x:v>
      </x:c>
      <x:c r="B8" s="19" t="str">
        <x:v>aitable +resolve-base</x:v>
      </x:c>
      <x:c r="C8" s="19" t="str">
        <x:v>name,fuzzy</x:v>
      </x:c>
      <x:c r="D8" s="19" t="str">
        <x:v>名称唯一解析与关键词搜索是不同执行语义</x:v>
      </x:c>
      <x:c r="E8" s="19" t="str">
        <x:v>base-name 可映射；query/keyword/base-id 阻断</x:v>
      </x:c>
      <x:c r="F8" s="19" t="str">
        <x:v>部分兜底</x:v>
      </x:c>
      <x:c r="G8" s="19" t="str">
        <x:v>中</x:v>
      </x:c>
    </x:row>
    <x:row r="9" ht="62" customHeight="1">
      <x:c r="A9" s="18" t="n">
        <x:v>5</x:v>
      </x:c>
      <x:c r="B9" s="18" t="str">
        <x:v>aitable +datasource-create</x:v>
      </x:c>
      <x:c r="C9" s="18" t="str">
        <x:v>base-id,datasource-type,source-config,auto,field-ids,auto-sync-setting</x:v>
      </x:c>
      <x:c r="D9" s="18" t="str">
        <x:v>sourceConfig、自动同步配置、字段 ID 列表三种结构并存</x:v>
      </x:c>
      <x:c r="E9" s="18" t="str">
        <x:v>仅明确 sourceConfig 拼写进入 concept；宽泛 datasource-config 保持歧义，generic config/json 和单字段 ID 阻断</x:v>
      </x:c>
      <x:c r="F9" s="18" t="str">
        <x:v>部分兜底</x:v>
      </x:c>
      <x:c r="G9" s="18" t="str">
        <x:v>高</x:v>
      </x:c>
    </x:row>
    <x:row r="10" ht="62" customHeight="1">
      <x:c r="A10" s="19" t="n">
        <x:v>6</x:v>
      </x:c>
      <x:c r="B10" s="19" t="str">
        <x:v>aitable +datasource-update</x:v>
      </x:c>
      <x:c r="C10" s="19" t="str">
        <x:v>base-id,table-id,source-config,auto,field-ids,auto-sync-setting</x:v>
      </x:c>
      <x:c r="D10" s="19" t="str">
        <x:v>两个 ID + 两类 JSON + 字段列表角色冲突</x:v>
      </x:c>
      <x:c r="E10" s="19" t="str">
        <x:v>按实体 concept 绑定；宽泛 datasource-config 无法选择 JSON 角色，保持歧义</x:v>
      </x:c>
      <x:c r="F10" s="19" t="str">
        <x:v>部分兜底</x:v>
      </x:c>
      <x:c r="G10" s="19" t="str">
        <x:v>高</x:v>
      </x:c>
    </x:row>
    <x:row r="11" ht="62" customHeight="1">
      <x:c r="A11" s="18" t="n">
        <x:v>7</x:v>
      </x:c>
      <x:c r="B11" s="18" t="str">
        <x:v>aitable +datasource-sync</x:v>
      </x:c>
      <x:c r="C11" s="18" t="str">
        <x:v>base-id,table-ids</x:v>
      </x:c>
      <x:c r="D11" s="18" t="str">
        <x:v>同步要求列表，不能把单个 table-id 自动扩成列表</x:v>
      </x:c>
      <x:c r="E11" s="18" t="str">
        <x:v>仅角色完整复数别名；单数阻断</x:v>
      </x:c>
      <x:c r="F11" s="18" t="str">
        <x:v>部分兜底</x:v>
      </x:c>
      <x:c r="G11" s="18" t="str">
        <x:v>高</x:v>
      </x:c>
    </x:row>
    <x:row r="12" ht="62" customHeight="1">
      <x:c r="A12" s="19" t="n">
        <x:v>8</x:v>
      </x:c>
      <x:c r="B12" s="19" t="str">
        <x:v>aitable +datasource-sync-status</x:v>
      </x:c>
      <x:c r="C12" s="19" t="str">
        <x:v>base-id,table-id,task-ids</x:v>
      </x:c>
      <x:c r="D12" s="19" t="str">
        <x:v>单表 ID 与任务 ID 列表并存</x:v>
      </x:c>
      <x:c r="E12" s="19" t="str">
        <x:v>复用 base/table concept；任务列表仅角色完整别名；单任务阻断</x:v>
      </x:c>
      <x:c r="F12" s="19" t="str">
        <x:v>部分兜底</x:v>
      </x:c>
      <x:c r="G12" s="19" t="str">
        <x:v>中</x:v>
      </x:c>
    </x:row>
    <x:row r="13" ht="62" customHeight="1">
      <x:c r="A13" s="18" t="n">
        <x:v>9</x:v>
      </x:c>
      <x:c r="B13" s="18" t="str">
        <x:v>aitable +datasource-get-config</x:v>
      </x:c>
      <x:c r="C13" s="18" t="str">
        <x:v>base-id,table-id</x:v>
      </x:c>
      <x:c r="D13" s="18" t="str">
        <x:v>返回的配置容易被误当成请求参数</x:v>
      </x:c>
      <x:c r="E13" s="18" t="str">
        <x:v>仅绑定两个 ID；source-config/data/json 阻断</x:v>
      </x:c>
      <x:c r="F13" s="18" t="str">
        <x:v>部分兜底</x:v>
      </x:c>
      <x:c r="G13" s="18" t="str">
        <x:v>中</x:v>
      </x:c>
    </x:row>
    <x:row r="14" ht="62" customHeight="1">
      <x:c r="A14" s="19" t="n">
        <x:v>10</x:v>
      </x:c>
      <x:c r="B14" s="19" t="str">
        <x:v>aitable +datasource-list-sources</x:v>
      </x:c>
      <x:c r="C14" s="19" t="str">
        <x:v>base-id,datasource-type</x:v>
      </x:c>
      <x:c r="D14" s="19" t="str">
        <x:v>目录 source 与 sourceConfig 容易混淆</x:v>
      </x:c>
      <x:c r="E14" s="19" t="str">
        <x:v>data-source-type 可映射；source-config 阻断</x:v>
      </x:c>
      <x:c r="F14" s="19" t="str">
        <x:v>部分兜底</x:v>
      </x:c>
      <x:c r="G14" s="19" t="str">
        <x:v>中</x:v>
      </x:c>
    </x:row>
    <x:row r="15" ht="62" customHeight="1">
      <x:c r="A15" s="18" t="n">
        <x:v>11</x:v>
      </x:c>
      <x:c r="B15" s="18" t="str">
        <x:v>aitable +datasource-get-fields</x:v>
      </x:c>
      <x:c r="C15" s="18" t="str">
        <x:v>base-id,datasource-type,source-config</x:v>
      </x:c>
      <x:c r="D15" s="18" t="str">
        <x:v>field-ids 是输出，不是请求字段；config 角色不完整</x:v>
      </x:c>
      <x:c r="E15" s="18" t="str">
        <x:v>仅明确 sourceConfig 拼写可绑定；field-ids 阻断，宽泛 datasource-config 保持歧义</x:v>
      </x:c>
      <x:c r="F15" s="18" t="str">
        <x:v>部分兜底</x:v>
      </x:c>
      <x:c r="G15" s="18" t="str">
        <x:v>中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42" hidden="0" customWidth="1"/>
    <x:col min="5" max="5" width="46" hidden="0" customWidth="1"/>
    <x:col min="6" max="6" width="42" hidden="0" customWidth="1"/>
    <x:col min="7" max="7" width="14" hidden="0" customWidth="1"/>
  </x:cols>
  <x:sheetData>
    <x:row r="1" ht="34" customHeight="1">
      <x:c r="A1" s="4" t="str">
        <x:v>AITable 兜底解决方案</x:v>
      </x:c>
      <x:c r="B1" s="4"/>
      <x:c r="C1" s="4"/>
      <x:c r="D1" s="4"/>
      <x:c r="E1" s="4"/>
      <x:c r="F1" s="4"/>
      <x:c r="G1" s="4"/>
    </x:row>
    <x:row r="2" ht="30" customHeight="1">
      <x:c r="A2" s="8" t="str">
        <x:v>仅接受同实体、同角色、同值域、同基数且值原样传递的映射；共新增 46 条 fixture</x:v>
      </x:c>
      <x:c r="B2" s="8"/>
      <x:c r="C2" s="8"/>
      <x:c r="D2" s="8"/>
      <x:c r="E2" s="8"/>
      <x:c r="F2" s="8"/>
      <x:c r="G2" s="8"/>
    </x:row>
    <x:row r="4" ht="28" customHeight="1">
      <x:c r="A4" s="14" t="str">
        <x:v>类型</x:v>
      </x:c>
      <x:c r="B4" s="14" t="str">
        <x:v>Concept / 命令</x:v>
      </x:c>
      <x:c r="C4" s="14" t="str">
        <x:v>处理</x:v>
      </x:c>
      <x:c r="D4" s="14" t="str">
        <x:v>作用范围</x:v>
      </x:c>
      <x:c r="E4" s="14" t="str">
        <x:v>映射或说明</x:v>
      </x:c>
      <x:c r="F4" s="14" t="str">
        <x:v>保护边界</x:v>
      </x:c>
      <x:c r="G4" s="14" t="str">
        <x:v>审计结论</x:v>
      </x:c>
    </x:row>
    <x:row r="5" ht="64" customHeight="1">
      <x:c r="A5" s="18" t="str">
        <x:v>实体</x:v>
      </x:c>
      <x:c r="B5" s="18" t="str">
        <x:v>base_id</x:v>
      </x:c>
      <x:c r="C5" s="18" t="str">
        <x:v>扩展既有实体范围</x:v>
      </x:c>
      <x:c r="D5" s="18" t="str">
        <x:v>aitable +table-bootstrap
aitable +datasource-create
aitable +datasource-update
aitable +datasource-sync
aitable +datasource-sync-status
aitable +datasource-get-config
aitable +datasource-list-sources
aitable +datasource-get-fields</x:v>
      </x:c>
      <x:c r="E5" s="18" t="str">
        <x:v>base, base-id, base-token → base-id</x:v>
      </x:c>
      <x:c r="F5" s="18" t="str">
        <x:v>—</x:v>
      </x:c>
      <x:c r="G5" s="18" t="str">
        <x:v>低风险</x:v>
      </x:c>
    </x:row>
    <x:row r="6" ht="64" customHeight="1">
      <x:c r="A6" s="19" t="str">
        <x:v>实体</x:v>
      </x:c>
      <x:c r="B6" s="19" t="str">
        <x:v>table_id</x:v>
      </x:c>
      <x:c r="C6" s="19" t="str">
        <x:v>扩展既有实体范围</x:v>
      </x:c>
      <x:c r="D6" s="19" t="str">
        <x:v>aitable +datasource-update
aitable +datasource-sync-status
aitable +datasource-get-config</x:v>
      </x:c>
      <x:c r="E6" s="19" t="str">
        <x:v>table, table-id → table-id</x:v>
      </x:c>
      <x:c r="F6" s="19" t="str">
        <x:v>table-ids, source-table-id, target-table-id, name</x:v>
      </x:c>
      <x:c r="G6" s="19" t="str">
        <x:v>低风险</x:v>
      </x:c>
    </x:row>
    <x:row r="7" ht="64" customHeight="1">
      <x:c r="A7" s="18" t="str">
        <x:v>实体</x:v>
      </x:c>
      <x:c r="B7" s="18" t="str">
        <x:v>aitable_field_ids</x:v>
      </x:c>
      <x:c r="C7" s="18" t="str">
        <x:v>新增跨命令实体</x:v>
      </x:c>
      <x:c r="D7" s="18" t="str">
        <x:v>aitable +field-get
aitable +record-query
aitable +datasource-create
aitable +datasource-update</x:v>
      </x:c>
      <x:c r="E7" s="18" t="str">
        <x:v>field-ids, field-id-list → field-ids</x:v>
      </x:c>
      <x:c r="F7" s="18" t="str">
        <x:v>field-id, fields, table-id, record-ids</x:v>
      </x:c>
      <x:c r="G7" s="18" t="str">
        <x:v>中风险</x:v>
      </x:c>
    </x:row>
    <x:row r="8" ht="64" customHeight="1">
      <x:c r="A8" s="19" t="str">
        <x:v>实体</x:v>
      </x:c>
      <x:c r="B8" s="19" t="str">
        <x:v>aitable_datasource_config_json</x:v>
      </x:c>
      <x:c r="C8" s="19" t="str">
        <x:v>新增跨命令实体</x:v>
      </x:c>
      <x:c r="D8" s="19" t="str">
        <x:v>aitable +datasource-create
aitable +datasource-update
aitable +datasource-get-fields</x:v>
      </x:c>
      <x:c r="E8" s="19" t="str">
        <x:v>source-config, source-config-json → source-config</x:v>
      </x:c>
      <x:c r="F8" s="19" t="str">
        <x:v>config, source, payload, data, json, fields, auto-sync-setting, datasource-config, data-source-config</x:v>
      </x:c>
      <x:c r="G8" s="19" t="str">
        <x:v>中风险</x:v>
      </x:c>
    </x:row>
    <x:row r="9" ht="64" customHeight="1">
      <x:c r="A9" s="18" t="str">
        <x:v>命令覆盖</x:v>
      </x:c>
      <x:c r="B9" s="18" t="str">
        <x:v>aitable +base-bootstrap</x:v>
      </x:c>
      <x:c r="C9" s="18" t="str">
        <x:v>alias 5 / block 8 / ambiguous 3</x:v>
      </x:c>
      <x:c r="D9" s="18" t="str">
        <x:v>aitable +base-bootstrap</x:v>
      </x:c>
      <x:c r="E9" s="18" t="str">
        <x:v>仅在本命令启用已验证的 bind / scoped alias；其余近似参数保持拦截或歧义保护</x:v>
      </x:c>
      <x:c r="F9" s="18" t="str">
        <x:v>base-id, table-id, field-id, field-ids, payload, data, json, schema, id, folder, template</x:v>
      </x:c>
      <x:c r="G9" s="18" t="str">
        <x:v>严格命令域</x:v>
      </x:c>
    </x:row>
    <x:row r="10" ht="64" customHeight="1">
      <x:c r="A10" s="19" t="str">
        <x:v>命令覆盖</x:v>
      </x:c>
      <x:c r="B10" s="19" t="str">
        <x:v>aitable +table-bootstrap</x:v>
      </x:c>
      <x:c r="C10" s="19" t="str">
        <x:v>bind 1 / alias 4 / block 7 / ambiguous 2</x:v>
      </x:c>
      <x:c r="D10" s="19" t="str">
        <x:v>aitable +table-bootstrap</x:v>
      </x:c>
      <x:c r="E10" s="19" t="str">
        <x:v>仅在本命令启用已验证的 bind / scoped alias；其余近似参数保持拦截或歧义保护</x:v>
      </x:c>
      <x:c r="F10" s="19" t="str">
        <x:v>table-id, field-id, field-ids, payload, data, json, schema, id, field</x:v>
      </x:c>
      <x:c r="G10" s="19" t="str">
        <x:v>严格命令域</x:v>
      </x:c>
    </x:row>
    <x:row r="11" ht="64" customHeight="1">
      <x:c r="A11" s="18" t="str">
        <x:v>命令覆盖</x:v>
      </x:c>
      <x:c r="B11" s="18" t="str">
        <x:v>aitable +url-resolve</x:v>
      </x:c>
      <x:c r="C11" s="18" t="str">
        <x:v>alias 4 / block 5 / ambiguous 2</x:v>
      </x:c>
      <x:c r="D11" s="18" t="str">
        <x:v>aitable +url-resolve</x:v>
      </x:c>
      <x:c r="E11" s="18" t="str">
        <x:v>仅在本命令启用已验证的 bind / scoped alias；其余近似参数保持拦截或歧义保护</x:v>
      </x:c>
      <x:c r="F11" s="18" t="str">
        <x:v>base-id, table-id, view-id, record-id, node-id, id, link</x:v>
      </x:c>
      <x:c r="G11" s="18" t="str">
        <x:v>严格命令域</x:v>
      </x:c>
    </x:row>
    <x:row r="12" ht="64" customHeight="1">
      <x:c r="A12" s="19" t="str">
        <x:v>命令覆盖</x:v>
      </x:c>
      <x:c r="B12" s="19" t="str">
        <x:v>aitable +resolve-base</x:v>
      </x:c>
      <x:c r="C12" s="19" t="str">
        <x:v>alias 3 / block 4 / ambiguous 2</x:v>
      </x:c>
      <x:c r="D12" s="19" t="str">
        <x:v>aitable +resolve-base</x:v>
      </x:c>
      <x:c r="E12" s="19" t="str">
        <x:v>仅在本命令启用已验证的 bind / scoped alias；其余近似参数保持拦截或歧义保护</x:v>
      </x:c>
      <x:c r="F12" s="19" t="str">
        <x:v>base-id, query, keyword, url, id, base</x:v>
      </x:c>
      <x:c r="G12" s="19" t="str">
        <x:v>严格命令域</x:v>
      </x:c>
    </x:row>
    <x:row r="13" ht="64" customHeight="1">
      <x:c r="A13" s="18" t="str">
        <x:v>命令覆盖</x:v>
      </x:c>
      <x:c r="B13" s="18" t="str">
        <x:v>aitable +datasource-create</x:v>
      </x:c>
      <x:c r="C13" s="18" t="str">
        <x:v>bind 3 / alias 4 / block 7 / ambiguous 4</x:v>
      </x:c>
      <x:c r="D13" s="18" t="str">
        <x:v>aitable +datasource-create</x:v>
      </x:c>
      <x:c r="E13" s="18" t="str">
        <x:v>仅在本命令启用已验证的 bind / scoped alias；其余近似参数保持拦截或歧义保护</x:v>
      </x:c>
      <x:c r="F13" s="18" t="str">
        <x:v>table-id, field-id, config, source, payload, data, json, id, type, datasource-config, data-source-config</x:v>
      </x:c>
      <x:c r="G13" s="18" t="str">
        <x:v>严格命令域</x:v>
      </x:c>
    </x:row>
    <x:row r="14" ht="64" customHeight="1">
      <x:c r="A14" s="19" t="str">
        <x:v>命令覆盖</x:v>
      </x:c>
      <x:c r="B14" s="19" t="str">
        <x:v>aitable +datasource-update</x:v>
      </x:c>
      <x:c r="C14" s="19" t="str">
        <x:v>bind 4 / alias 3 / block 9 / ambiguous 4</x:v>
      </x:c>
      <x:c r="D14" s="19" t="str">
        <x:v>aitable +datasource-update</x:v>
      </x:c>
      <x:c r="E14" s="19" t="str">
        <x:v>仅在本命令启用已验证的 bind / scoped alias；其余近似参数保持拦截或歧义保护</x:v>
      </x:c>
      <x:c r="F14" s="19" t="str">
        <x:v>datasource-type, data-source-type, source-type, field-id, config, source, payload, data, json, id, type, datasource-config, data-source-config</x:v>
      </x:c>
      <x:c r="G14" s="19" t="str">
        <x:v>严格命令域</x:v>
      </x:c>
    </x:row>
    <x:row r="15" ht="64" customHeight="1">
      <x:c r="A15" s="18" t="str">
        <x:v>命令覆盖</x:v>
      </x:c>
      <x:c r="B15" s="18" t="str">
        <x:v>aitable +datasource-sync</x:v>
      </x:c>
      <x:c r="C15" s="18" t="str">
        <x:v>bind 1 / alias 2 / block 3 / ambiguous 2</x:v>
      </x:c>
      <x:c r="D15" s="18" t="str">
        <x:v>aitable +datasource-sync</x:v>
      </x:c>
      <x:c r="E15" s="18" t="str">
        <x:v>仅在本命令启用已验证的 bind / scoped alias；其余近似参数保持拦截或歧义保护</x:v>
      </x:c>
      <x:c r="F15" s="18" t="str">
        <x:v>table-id, field-ids, task-ids, id, ids</x:v>
      </x:c>
      <x:c r="G15" s="18" t="str">
        <x:v>严格命令域</x:v>
      </x:c>
    </x:row>
    <x:row r="16" ht="64" customHeight="1">
      <x:c r="A16" s="19" t="str">
        <x:v>命令覆盖</x:v>
      </x:c>
      <x:c r="B16" s="19" t="str">
        <x:v>aitable +datasource-sync-status</x:v>
      </x:c>
      <x:c r="C16" s="19" t="str">
        <x:v>bind 2 / alias 2 / block 3 / ambiguous 3</x:v>
      </x:c>
      <x:c r="D16" s="19" t="str">
        <x:v>aitable +datasource-sync-status</x:v>
      </x:c>
      <x:c r="E16" s="19" t="str">
        <x:v>仅在本命令启用已验证的 bind / scoped alias；其余近似参数保持拦截或歧义保护</x:v>
      </x:c>
      <x:c r="F16" s="19" t="str">
        <x:v>task-id, table-ids, field-ids, id, ids, status</x:v>
      </x:c>
      <x:c r="G16" s="19" t="str">
        <x:v>严格命令域</x:v>
      </x:c>
    </x:row>
    <x:row r="17" ht="64" customHeight="1">
      <x:c r="A17" s="18" t="str">
        <x:v>命令覆盖</x:v>
      </x:c>
      <x:c r="B17" s="18" t="str">
        <x:v>aitable +datasource-get-config</x:v>
      </x:c>
      <x:c r="C17" s="18" t="str">
        <x:v>bind 2 / block 6 / ambiguous 2</x:v>
      </x:c>
      <x:c r="D17" s="18" t="str">
        <x:v>aitable +datasource-get-config</x:v>
      </x:c>
      <x:c r="E17" s="18" t="str">
        <x:v>仅在本命令启用已验证的 bind / scoped alias；其余近似参数保持拦截或歧义保护</x:v>
      </x:c>
      <x:c r="F17" s="18" t="str">
        <x:v>source-config, field-ids, task-ids, payload, data, json, id, config</x:v>
      </x:c>
      <x:c r="G17" s="18" t="str">
        <x:v>严格命令域</x:v>
      </x:c>
    </x:row>
    <x:row r="18" ht="64" customHeight="1">
      <x:c r="A18" s="19" t="str">
        <x:v>命令覆盖</x:v>
      </x:c>
      <x:c r="B18" s="19" t="str">
        <x:v>aitable +datasource-list-sources</x:v>
      </x:c>
      <x:c r="C18" s="19" t="str">
        <x:v>bind 1 / alias 1 / block 3 / ambiguous 3</x:v>
      </x:c>
      <x:c r="D18" s="19" t="str">
        <x:v>aitable +datasource-list-sources</x:v>
      </x:c>
      <x:c r="E18" s="19" t="str">
        <x:v>仅在本命令启用已验证的 bind / scoped alias；其余近似参数保持拦截或歧义保护</x:v>
      </x:c>
      <x:c r="F18" s="19" t="str">
        <x:v>table-id, source-config, field-ids, id, type, source</x:v>
      </x:c>
      <x:c r="G18" s="19" t="str">
        <x:v>严格命令域</x:v>
      </x:c>
    </x:row>
    <x:row r="19" ht="64" customHeight="1">
      <x:c r="A19" s="18" t="str">
        <x:v>命令覆盖</x:v>
      </x:c>
      <x:c r="B19" s="18" t="str">
        <x:v>aitable +datasource-get-fields</x:v>
      </x:c>
      <x:c r="C19" s="18" t="str">
        <x:v>bind 2 / alias 1 / block 3 / ambiguous 6</x:v>
      </x:c>
      <x:c r="D19" s="18" t="str">
        <x:v>aitable +datasource-get-fields</x:v>
      </x:c>
      <x:c r="E19" s="18" t="str">
        <x:v>仅在本命令启用已验证的 bind / scoped alias；其余近似参数保持拦截或歧义保护</x:v>
      </x:c>
      <x:c r="F19" s="18" t="str">
        <x:v>table-id, field-id, field-ids, id, type, source, config, datasource-config, data-source-config</x:v>
      </x:c>
      <x:c r="G19" s="18" t="str">
        <x:v>严格命令域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48" hidden="0" customWidth="1"/>
    <x:col min="4" max="4" width="15" hidden="0" customWidth="1"/>
    <x:col min="5" max="5" width="45" hidden="0" customWidth="1"/>
    <x:col min="6" max="6" width="48" hidden="0" customWidth="1"/>
  </x:cols>
  <x:sheetData>
    <x:row r="1" ht="34" customHeight="1">
      <x:c r="A1" s="4" t="str">
        <x:v>AITable 当前无法解决</x:v>
      </x:c>
      <x:c r="B1" s="4"/>
      <x:c r="C1" s="4"/>
      <x:c r="D1" s="4"/>
      <x:c r="E1" s="4"/>
      <x:c r="F1" s="4"/>
    </x:row>
    <x:row r="2" ht="30" customHeight="1">
      <x:c r="A2" s="8" t="str">
        <x:v>此页专列不应被别名表“强行拟合”的边界，避免把保护项误写成覆盖项</x:v>
      </x:c>
      <x:c r="B2" s="8"/>
      <x:c r="C2" s="8"/>
      <x:c r="D2" s="8"/>
      <x:c r="E2" s="8"/>
      <x:c r="F2" s="8"/>
    </x:row>
    <x:row r="4" ht="28" customHeight="1">
      <x:c r="A4" s="25" t="str">
        <x:v>序号</x:v>
      </x:c>
      <x:c r="B4" s="25" t="str">
        <x:v>命令</x:v>
      </x:c>
      <x:c r="C4" s="25" t="str">
        <x:v>不能自动解决的原因</x:v>
      </x:c>
      <x:c r="D4" s="25" t="str">
        <x:v>当前状态</x:v>
      </x:c>
      <x:c r="E4" s="25" t="str">
        <x:v>已提供的保护</x:v>
      </x:c>
      <x:c r="F4" s="25" t="str">
        <x:v>后续路径</x:v>
      </x:c>
    </x:row>
    <x:row r="5" ht="66" customHeight="1">
      <x:c r="A5" s="18" t="n">
        <x:v>1</x:v>
      </x:c>
      <x:c r="B5" s="18" t="str">
        <x:v>aitable +base-bootstrap</x:v>
      </x:c>
      <x:c r="C5" s="18" t="str">
        <x:v>创建目标与已有 Base/Table ID 易混；tables 是定义 JSON</x:v>
      </x:c>
      <x:c r="D5" s="18" t="str">
        <x:v>部分兜底</x:v>
      </x:c>
      <x:c r="E5" s="18" t="str">
        <x:v>仅角色完整的名称/文件夹/模板/JSON 别名；已有资源 ID 阻断</x:v>
      </x:c>
      <x:c r="F5" s="18" t="str">
        <x:v>需修改真实 CLI/框架，或由 Agent 明确选择真实参数；别名表不做查找、转换、枚举翻译或基数变化</x:v>
      </x:c>
    </x:row>
    <x:row r="6" ht="66" customHeight="1">
      <x:c r="A6" s="19" t="n">
        <x:v>2</x:v>
      </x:c>
      <x:c r="B6" s="19" t="str">
        <x:v>aitable +table-bootstrap</x:v>
      </x:c>
      <x:c r="C6" s="19" t="str">
        <x:v>fields 定义 JSON 与 field-ids 列表不是同一实体</x:v>
      </x:c>
      <x:c r="D6" s="19" t="str">
        <x:v>部分兜底</x:v>
      </x:c>
      <x:c r="E6" s="19" t="str">
        <x:v>复用 base_id；定义 JSON 仅命令级别名；field-ids 阻断</x:v>
      </x:c>
      <x:c r="F6" s="19" t="str">
        <x:v>需修改真实 CLI/框架，或由 Agent 明确选择真实参数；别名表不做查找、转换、枚举翻译或基数变化</x:v>
      </x:c>
    </x:row>
    <x:row r="7" ht="66" customHeight="1">
      <x:c r="A7" s="18" t="n">
        <x:v>3</x:v>
      </x:c>
      <x:c r="B7" s="18" t="str">
        <x:v>aitable +url-resolve</x:v>
      </x:c>
      <x:c r="C7" s="18" t="str">
        <x:v>URL 与拆出的 base/table/view/record ID 不能互换</x:v>
      </x:c>
      <x:c r="D7" s="18" t="str">
        <x:v>部分兜底</x:v>
      </x:c>
      <x:c r="E7" s="18" t="str">
        <x:v>URL 角色别名可映射；独立 ID 阻断</x:v>
      </x:c>
      <x:c r="F7" s="18" t="str">
        <x:v>需修改真实 CLI/框架，或由 Agent 明确选择真实参数；别名表不做查找、转换、枚举翻译或基数变化</x:v>
      </x:c>
    </x:row>
    <x:row r="8" ht="66" customHeight="1">
      <x:c r="A8" s="19" t="n">
        <x:v>4</x:v>
      </x:c>
      <x:c r="B8" s="19" t="str">
        <x:v>aitable +resolve-base</x:v>
      </x:c>
      <x:c r="C8" s="19" t="str">
        <x:v>名称唯一解析与关键词搜索是不同执行语义</x:v>
      </x:c>
      <x:c r="D8" s="19" t="str">
        <x:v>部分兜底</x:v>
      </x:c>
      <x:c r="E8" s="19" t="str">
        <x:v>base-name 可映射；query/keyword/base-id 阻断</x:v>
      </x:c>
      <x:c r="F8" s="19" t="str">
        <x:v>需修改真实 CLI/框架，或由 Agent 明确选择真实参数；别名表不做查找、转换、枚举翻译或基数变化</x:v>
      </x:c>
    </x:row>
    <x:row r="9" ht="66" customHeight="1">
      <x:c r="A9" s="18" t="n">
        <x:v>5</x:v>
      </x:c>
      <x:c r="B9" s="18" t="str">
        <x:v>aitable +datasource-create</x:v>
      </x:c>
      <x:c r="C9" s="18" t="str">
        <x:v>sourceConfig、自动同步配置、字段 ID 列表三种结构并存</x:v>
      </x:c>
      <x:c r="D9" s="18" t="str">
        <x:v>部分兜底</x:v>
      </x:c>
      <x:c r="E9" s="18" t="str">
        <x:v>仅明确 sourceConfig 拼写进入 concept；宽泛 datasource-config 保持歧义，generic config/json 和单字段 ID 阻断</x:v>
      </x:c>
      <x:c r="F9" s="18" t="str">
        <x:v>需修改真实 CLI/框架，或由 Agent 明确选择真实参数；别名表不做查找、转换、枚举翻译或基数变化</x:v>
      </x:c>
    </x:row>
    <x:row r="10" ht="66" customHeight="1">
      <x:c r="A10" s="19" t="n">
        <x:v>6</x:v>
      </x:c>
      <x:c r="B10" s="19" t="str">
        <x:v>aitable +datasource-update</x:v>
      </x:c>
      <x:c r="C10" s="19" t="str">
        <x:v>两个 ID + 两类 JSON + 字段列表角色冲突</x:v>
      </x:c>
      <x:c r="D10" s="19" t="str">
        <x:v>部分兜底</x:v>
      </x:c>
      <x:c r="E10" s="19" t="str">
        <x:v>按实体 concept 绑定；宽泛 datasource-config 无法选择 JSON 角色，保持歧义</x:v>
      </x:c>
      <x:c r="F10" s="19" t="str">
        <x:v>需修改真实 CLI/框架，或由 Agent 明确选择真实参数；别名表不做查找、转换、枚举翻译或基数变化</x:v>
      </x:c>
    </x:row>
    <x:row r="11" ht="66" customHeight="1">
      <x:c r="A11" s="18" t="n">
        <x:v>7</x:v>
      </x:c>
      <x:c r="B11" s="18" t="str">
        <x:v>aitable +datasource-sync</x:v>
      </x:c>
      <x:c r="C11" s="18" t="str">
        <x:v>同步要求列表，不能把单个 table-id 自动扩成列表</x:v>
      </x:c>
      <x:c r="D11" s="18" t="str">
        <x:v>部分兜底</x:v>
      </x:c>
      <x:c r="E11" s="18" t="str">
        <x:v>仅角色完整复数别名；单数阻断</x:v>
      </x:c>
      <x:c r="F11" s="18" t="str">
        <x:v>需修改真实 CLI/框架，或由 Agent 明确选择真实参数；别名表不做查找、转换、枚举翻译或基数变化</x:v>
      </x:c>
    </x:row>
    <x:row r="12" ht="66" customHeight="1">
      <x:c r="A12" s="19" t="n">
        <x:v>8</x:v>
      </x:c>
      <x:c r="B12" s="19" t="str">
        <x:v>aitable +datasource-sync-status</x:v>
      </x:c>
      <x:c r="C12" s="19" t="str">
        <x:v>单表 ID 与任务 ID 列表并存</x:v>
      </x:c>
      <x:c r="D12" s="19" t="str">
        <x:v>部分兜底</x:v>
      </x:c>
      <x:c r="E12" s="19" t="str">
        <x:v>复用 base/table concept；任务列表仅角色完整别名；单任务阻断</x:v>
      </x:c>
      <x:c r="F12" s="19" t="str">
        <x:v>需修改真实 CLI/框架，或由 Agent 明确选择真实参数；别名表不做查找、转换、枚举翻译或基数变化</x:v>
      </x:c>
    </x:row>
    <x:row r="13" ht="66" customHeight="1">
      <x:c r="A13" s="18" t="n">
        <x:v>9</x:v>
      </x:c>
      <x:c r="B13" s="18" t="str">
        <x:v>aitable +datasource-get-config</x:v>
      </x:c>
      <x:c r="C13" s="18" t="str">
        <x:v>返回的配置容易被误当成请求参数</x:v>
      </x:c>
      <x:c r="D13" s="18" t="str">
        <x:v>部分兜底</x:v>
      </x:c>
      <x:c r="E13" s="18" t="str">
        <x:v>仅绑定两个 ID；source-config/data/json 阻断</x:v>
      </x:c>
      <x:c r="F13" s="18" t="str">
        <x:v>需修改真实 CLI/框架，或由 Agent 明确选择真实参数；别名表不做查找、转换、枚举翻译或基数变化</x:v>
      </x:c>
    </x:row>
    <x:row r="14" ht="66" customHeight="1">
      <x:c r="A14" s="19" t="n">
        <x:v>10</x:v>
      </x:c>
      <x:c r="B14" s="19" t="str">
        <x:v>aitable +datasource-list-sources</x:v>
      </x:c>
      <x:c r="C14" s="19" t="str">
        <x:v>目录 source 与 sourceConfig 容易混淆</x:v>
      </x:c>
      <x:c r="D14" s="19" t="str">
        <x:v>部分兜底</x:v>
      </x:c>
      <x:c r="E14" s="19" t="str">
        <x:v>data-source-type 可映射；source-config 阻断</x:v>
      </x:c>
      <x:c r="F14" s="19" t="str">
        <x:v>需修改真实 CLI/框架，或由 Agent 明确选择真实参数；别名表不做查找、转换、枚举翻译或基数变化</x:v>
      </x:c>
    </x:row>
    <x:row r="15" ht="66" customHeight="1">
      <x:c r="A15" s="18" t="n">
        <x:v>11</x:v>
      </x:c>
      <x:c r="B15" s="18" t="str">
        <x:v>aitable +datasource-get-fields</x:v>
      </x:c>
      <x:c r="C15" s="18" t="str">
        <x:v>field-ids 是输出，不是请求字段；config 角色不完整</x:v>
      </x:c>
      <x:c r="D15" s="18" t="str">
        <x:v>部分兜底</x:v>
      </x:c>
      <x:c r="E15" s="18" t="str">
        <x:v>仅明确 sourceConfig 拼写可绑定；field-ids 阻断，宽泛 datasource-config 保持歧义</x:v>
      </x:c>
      <x:c r="F15" s="18" t="str">
        <x:v>需修改真实 CLI/框架，或由 Agent 明确选择真实参数；别名表不做查找、转换、枚举翻译或基数变化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4" hidden="0" customWidth="1"/>
    <x:col min="4" max="4" width="64" hidden="0" customWidth="1"/>
  </x:cols>
  <x:sheetData>
    <x:row r="1" ht="34" customHeight="1">
      <x:c r="A1" s="4" t="str">
        <x:v>AITable 分析依据</x:v>
      </x:c>
      <x:c r="B1" s="4"/>
      <x:c r="C1" s="4"/>
      <x:c r="D1" s="4"/>
    </x:row>
    <x:row r="2" ht="30" customHeight="1">
      <x:c r="A2" s="8" t="str">
        <x:v>事实优先级：同提交 Help/Cobra &gt; 同提交运行时 Schema &gt; Skill &gt; 正式参数兜底配置</x:v>
      </x:c>
      <x:c r="B2" s="8"/>
      <x:c r="C2" s="8"/>
      <x:c r="D2" s="8"/>
    </x:row>
    <x:row r="4" ht="28" customHeight="1">
      <x:c r="A4" s="31" t="str">
        <x:v>依据类型</x:v>
      </x:c>
      <x:c r="B4" s="31" t="str">
        <x:v>来源 / 命令</x:v>
      </x:c>
      <x:c r="C4" s="31" t="str">
        <x:v>状态</x:v>
      </x:c>
      <x:c r="D4" s="31" t="str">
        <x:v>结论</x:v>
      </x:c>
    </x:row>
    <x:row r="5" ht="48" customHeight="1">
      <x:c r="A5" s="18" t="str">
        <x:v>冻结基线</x:v>
      </x:c>
      <x:c r="B5" s="18" t="str">
        <x:v>origin/main@f4474b57eb1db23b1638b9574be2f5dca368a360</x:v>
      </x:c>
      <x:c r="C5" s="18" t="str">
        <x:v>通过</x:v>
      </x:c>
      <x:c r="D5" s="18" t="str">
        <x:v>同提交构建与审计，避免跨版本事实混用</x:v>
      </x:c>
    </x:row>
    <x:row r="6" ht="48" customHeight="1">
      <x:c r="A6" s="19" t="str">
        <x:v>真实 Help/Cobra</x:v>
      </x:c>
      <x:c r="B6" s="19" t="str">
        <x:v>./dws &lt;product&gt; ... --help</x:v>
      </x:c>
      <x:c r="C6" s="19" t="str">
        <x:v>已核对</x:v>
      </x:c>
      <x:c r="D6" s="19" t="str">
        <x:v>真实可执行 flag 与约束为最高优先级</x:v>
      </x:c>
    </x:row>
    <x:row r="7" ht="48" customHeight="1">
      <x:c r="A7" s="18" t="str">
        <x:v>运行时 Schema</x:v>
      </x:c>
      <x:c r="B7" s="18" t="str">
        <x:v>./dws schema --cli-path &lt;path&gt; --compact -f json</x:v>
      </x:c>
      <x:c r="C7" s="18" t="str">
        <x:v>已核对</x:v>
      </x:c>
      <x:c r="D7" s="18" t="str">
        <x:v>同一二进制运行时组装，不使用提交态 Catalog</x:v>
      </x:c>
    </x:row>
    <x:row r="8" ht="48" customHeight="1">
      <x:c r="A8" s="19" t="str">
        <x:v>产品 Skill</x:v>
      </x:c>
      <x:c r="B8" s="19" t="str">
        <x:v>skills/multi 对应 product references</x:v>
      </x:c>
      <x:c r="C8" s="19" t="str">
        <x:v>已核对</x:v>
      </x:c>
      <x:c r="D8" s="19" t="str">
        <x:v>用于核对推荐路径、上下文传递和业务边界</x:v>
      </x:c>
    </x:row>
    <x:row r="9" ht="48" customHeight="1">
      <x:c r="A9" s="18" t="str">
        <x:v>正式别名表</x:v>
      </x:c>
      <x:c r="B9" s="18" t="str">
        <x:v>internal/cli/param_concepts.json</x:v>
      </x:c>
      <x:c r="C9" s="18" t="str">
        <x:v>已核对</x:v>
      </x:c>
      <x:c r="D9" s="18" t="str">
        <x:v>候选基于完整正式表复制，正式文件保持零差异</x:v>
      </x:c>
    </x:row>
    <x:row r="10" ht="48" customHeight="1">
      <x:c r="A10" s="19" t="str">
        <x:v>测试模板</x:v>
      </x:c>
      <x:c r="B10" s="19" t="str">
        <x:v>internal/app/param_alias_payload_equivalence_test.go</x:v>
      </x:c>
      <x:c r="C10" s="19" t="str">
        <x:v>已补齐</x:v>
      </x:c>
      <x:c r="D10" s="19" t="str">
        <x:v>candidate-only；未启用候选时不扩大既有 activeCommands</x:v>
      </x:c>
    </x:row>
    <x:row r="11" ht="48" customHeight="1">
      <x:c r="A11" s="18" t="str">
        <x:v>验证门禁</x:v>
      </x:c>
      <x:c r="B11" s="18" t="str">
        <x:v>JSON/Schema 闭合校验</x:v>
      </x:c>
      <x:c r="C11" s="18" t="str">
        <x:v>通过</x:v>
      </x:c>
      <x:c r="D11" s="18" t="str">
        <x:v>隔离候选替换、执行、自动恢复</x:v>
      </x:c>
    </x:row>
    <x:row r="12" ht="48" customHeight="1">
      <x:c r="A12" s="19" t="str">
        <x:v>验证门禁</x:v>
      </x:c>
      <x:c r="B12" s="19" t="str">
        <x:v>go generate / reduction</x:v>
      </x:c>
      <x:c r="C12" s="19" t="str">
        <x:v>通过</x:v>
      </x:c>
      <x:c r="D12" s="19" t="str">
        <x:v>隔离候选替换、执行、自动恢复</x:v>
      </x:c>
    </x:row>
    <x:row r="13" ht="48" customHeight="1">
      <x:c r="A13" s="18" t="str">
        <x:v>验证门禁</x:v>
      </x:c>
      <x:c r="B13" s="18" t="str">
        <x:v>全部 PreParse fixture</x:v>
      </x:c>
      <x:c r="C13" s="18" t="str">
        <x:v>通过</x:v>
      </x:c>
      <x:c r="D13" s="18" t="str">
        <x:v>隔离候选替换、执行、自动恢复</x:v>
      </x:c>
    </x:row>
    <x:row r="14" ht="48" customHeight="1">
      <x:c r="A14" s="19" t="str">
        <x:v>验证门禁</x:v>
      </x:c>
      <x:c r="B14" s="19" t="str">
        <x:v>Candidate-only 完整命令模板</x:v>
      </x:c>
      <x:c r="C14" s="19" t="str">
        <x:v>通过</x:v>
      </x:c>
      <x:c r="D14" s="19" t="str">
        <x:v>隔离候选替换、执行、自动恢复</x:v>
      </x:c>
    </x:row>
    <x:row r="15" ht="48" customHeight="1">
      <x:c r="A15" s="18" t="str">
        <x:v>验证门禁</x:v>
      </x:c>
      <x:c r="B15" s="18" t="str">
        <x:v>移除 --yes 后确认不可绕过</x:v>
      </x:c>
      <x:c r="C15" s="18" t="str">
        <x:v>通过</x:v>
      </x:c>
      <x:c r="D15" s="18" t="str">
        <x:v>隔离候选替换、执行、自动恢复</x:v>
      </x:c>
    </x:row>
    <x:row r="16" ht="48" customHeight="1">
      <x:c r="A16" s="19" t="str">
        <x:v>验证门禁</x:v>
      </x:c>
      <x:c r="B16" s="19" t="str">
        <x:v>非目标别名回归</x:v>
      </x:c>
      <x:c r="C16" s="19" t="str">
        <x:v>通过</x:v>
      </x:c>
      <x:c r="D16" s="19" t="str">
        <x:v>隔离候选替换、执行、自动恢复</x:v>
      </x:c>
    </x:row>
    <x:row r="17" ht="48" customHeight="1">
      <x:c r="A17" s="18" t="str">
        <x:v>验证门禁</x:v>
      </x:c>
      <x:c r="B17" s="18" t="str">
        <x:v>check-generated-drift.sh</x:v>
      </x:c>
      <x:c r="C17" s="18" t="str">
        <x:v>通过</x:v>
      </x:c>
      <x:c r="D17" s="18" t="str">
        <x:v>隔离候选替换、执行、自动恢复</x:v>
      </x:c>
    </x:row>
    <x:row r="18" ht="48" customHeight="1">
      <x:c r="A18" s="19" t="str">
        <x:v>验证门禁</x:v>
      </x:c>
      <x:c r="B18" s="19" t="str">
        <x:v>check-schema-catalog.sh</x:v>
      </x:c>
      <x:c r="C18" s="19" t="str">
        <x:v>通过</x:v>
      </x:c>
      <x:c r="D18" s="19" t="str">
        <x:v>隔离候选替换、执行、自动恢复</x:v>
      </x:c>
    </x:row>
    <x:row r="19" ht="48" customHeight="1">
      <x:c r="A19" s="18" t="str">
        <x:v>验证门禁</x:v>
      </x:c>
      <x:c r="B19" s="18" t="str">
        <x:v>正式别名表零差异</x:v>
      </x:c>
      <x:c r="C19" s="18" t="str">
        <x:v>通过</x:v>
      </x:c>
      <x:c r="D19" s="18" t="str">
        <x:v>工作树正式 internal/cli/param_concepts.json 未修改</x:v>
      </x:c>
    </x:row>
  </x:sheetData>
  <x:mergeCells>
    <x:mergeCell ref="A1:D1"/>
    <x:mergeCell ref="A2:D2"/>
  </x:mergeCells>
  <x:pageMargins left="0.7" right="0.7" top="0.75" bottom="0.75" header="0.3" footer="0.3"/>
</x:worksheet>
</file>